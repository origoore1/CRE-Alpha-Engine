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Porz Galerie Koeln-Porz (Mixed Use)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Friedrich-Ebert-Ufer 50</t>
        </is>
      </c>
    </row>
    <row r="7" ht="18" customHeight="1" s="95">
      <c r="A7" s="99" t="inlineStr">
        <is>
          <t>City / Bundesland</t>
        </is>
      </c>
      <c r="B7" s="102" t="inlineStr">
        <is>
          <t>Koeln / Nordrhein-Westfalen</t>
        </is>
      </c>
    </row>
    <row r="8" ht="18" customHeight="1" s="95">
      <c r="A8" s="99" t="inlineStr">
        <is>
          <t>Asset Type</t>
        </is>
      </c>
      <c r="B8" s="102" t="inlineStr">
        <is>
          <t>Mixed Use (Retail + Office) — Use with caution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4800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1998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165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8500000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3400000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46103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Rewe Markt GmbH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1600</v>
      </c>
      <c r="F4" s="125" t="n">
        <v>10.5</v>
      </c>
      <c r="G4" s="126">
        <f>IFERROR(E4*F4*12,0)</f>
        <v/>
      </c>
      <c r="H4" s="127" t="n">
        <v>43922</v>
      </c>
      <c r="I4" s="127" t="n">
        <v>47938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18900</v>
      </c>
      <c r="P4" s="122" t="inlineStr">
        <is>
          <t>Y</t>
        </is>
      </c>
      <c r="Q4" s="130" t="n">
        <v>0</v>
      </c>
      <c r="R4" s="123" t="inlineStr">
        <is>
          <t>Ground floor anchor — solid 5yr remaining.</t>
        </is>
      </c>
    </row>
    <row r="5" ht="15" customHeight="1" s="95">
      <c r="A5" s="131" t="inlineStr">
        <is>
          <t>U-02</t>
        </is>
      </c>
      <c r="B5" s="132" t="inlineStr">
        <is>
          <t>Rossmann GmbH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420</v>
      </c>
      <c r="F5" s="134" t="n">
        <v>15.5</v>
      </c>
      <c r="G5" s="126">
        <f>IFERROR(E5*F5*12,0)</f>
        <v/>
      </c>
      <c r="H5" s="135" t="n">
        <v>44470</v>
      </c>
      <c r="I5" s="135" t="n">
        <v>47756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7245</v>
      </c>
      <c r="P5" s="131" t="inlineStr">
        <is>
          <t>Y</t>
        </is>
      </c>
      <c r="Q5" s="138" t="n">
        <v>0</v>
      </c>
      <c r="R5" s="132" t="inlineStr">
        <is>
          <t>Ground floor — 4.5yr remaining.</t>
        </is>
      </c>
    </row>
    <row r="6" ht="15" customHeight="1" s="95">
      <c r="A6" s="122" t="inlineStr">
        <is>
          <t>U-03</t>
        </is>
      </c>
      <c r="B6" s="123" t="inlineStr">
        <is>
          <t>Buero Mieter GmbH</t>
        </is>
      </c>
      <c r="C6" s="123" t="inlineStr">
        <is>
          <t>Office</t>
        </is>
      </c>
      <c r="D6" s="122" t="inlineStr">
        <is>
          <t>N</t>
        </is>
      </c>
      <c r="E6" s="124" t="n">
        <v>800</v>
      </c>
      <c r="F6" s="125" t="n">
        <v>9.5</v>
      </c>
      <c r="G6" s="126">
        <f>IFERROR(E6*F6*12,0)</f>
        <v/>
      </c>
      <c r="H6" s="127" t="n">
        <v>43831</v>
      </c>
      <c r="I6" s="127" t="n">
        <v>46387</v>
      </c>
      <c r="J6" s="127" t="n"/>
      <c r="K6" s="128">
        <f>IFERROR(IF(B6="VACANT",0,(I6-TODAY())/365.25),0)</f>
        <v/>
      </c>
      <c r="L6" s="122" t="inlineStr">
        <is>
          <t>N</t>
        </is>
      </c>
      <c r="M6" s="129" t="n">
        <v>0</v>
      </c>
      <c r="N6" s="129" t="n">
        <v>0</v>
      </c>
      <c r="O6" s="124" t="n">
        <v>5700</v>
      </c>
      <c r="P6" s="122" t="inlineStr">
        <is>
          <t>N</t>
        </is>
      </c>
      <c r="Q6" s="130" t="n">
        <v>0</v>
      </c>
      <c r="R6" s="123" t="inlineStr">
        <is>
          <t>OFFICE TENANT — lease expires Dec 2026 (9 months). Office market Cologne-Porz is weak. Re-letting at same rent unlikely.</t>
        </is>
      </c>
    </row>
    <row r="7" ht="15" customHeight="1" s="95">
      <c r="A7" s="131" t="inlineStr">
        <is>
          <t>U-04</t>
        </is>
      </c>
      <c r="B7" s="132" t="inlineStr">
        <is>
          <t>Steuerberater Kanzlei</t>
        </is>
      </c>
      <c r="C7" s="132" t="inlineStr">
        <is>
          <t>Office</t>
        </is>
      </c>
      <c r="D7" s="131" t="inlineStr">
        <is>
          <t>N</t>
        </is>
      </c>
      <c r="E7" s="133" t="n">
        <v>560</v>
      </c>
      <c r="F7" s="134" t="n">
        <v>8.5</v>
      </c>
      <c r="G7" s="126">
        <f>IFERROR(E7*F7*12,0)</f>
        <v/>
      </c>
      <c r="H7" s="135" t="n">
        <v>43556</v>
      </c>
      <c r="I7" s="135" t="n">
        <v>46477</v>
      </c>
      <c r="J7" s="135" t="n"/>
      <c r="K7" s="136">
        <f>IFERROR(IF(B7="VACANT",0,(I7-TODAY())/365.25),0)</f>
        <v/>
      </c>
      <c r="L7" s="131" t="inlineStr">
        <is>
          <t>N</t>
        </is>
      </c>
      <c r="M7" s="137" t="n">
        <v>0</v>
      </c>
      <c r="N7" s="137" t="n">
        <v>0</v>
      </c>
      <c r="O7" s="133" t="n">
        <v>2800</v>
      </c>
      <c r="P7" s="131" t="inlineStr">
        <is>
          <t>N</t>
        </is>
      </c>
      <c r="Q7" s="138" t="n">
        <v>0</v>
      </c>
      <c r="R7" s="132" t="inlineStr">
        <is>
          <t>OFFICE TENANT — 1yr remaining. Likely to downsize or leave.</t>
        </is>
      </c>
    </row>
    <row r="8" ht="15" customHeight="1" s="95">
      <c r="A8" s="122" t="inlineStr">
        <is>
          <t>U-05</t>
        </is>
      </c>
      <c r="B8" s="123" t="inlineStr">
        <is>
          <t>VACANT (ex-office)</t>
        </is>
      </c>
      <c r="C8" s="123" t="inlineStr">
        <is>
          <t>—</t>
        </is>
      </c>
      <c r="D8" s="122" t="inlineStr">
        <is>
          <t>N</t>
        </is>
      </c>
      <c r="E8" s="124" t="n">
        <v>420</v>
      </c>
      <c r="F8" s="125" t="n">
        <v>0</v>
      </c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inlineStr">
        <is>
          <t>N</t>
        </is>
      </c>
      <c r="M8" s="129" t="n">
        <v>0</v>
      </c>
      <c r="N8" s="129" t="n">
        <v>0</v>
      </c>
      <c r="O8" s="124" t="n">
        <v>0</v>
      </c>
      <c r="P8" s="122" t="inlineStr">
        <is>
          <t>N</t>
        </is>
      </c>
      <c r="Q8" s="130" t="n">
        <v>0</v>
      </c>
      <c r="R8" s="123" t="inlineStr">
        <is>
          <t>Former office — dark 18 months. Structural office vacancy.</t>
        </is>
      </c>
    </row>
    <row r="9" ht="15" customHeight="1" s="95">
      <c r="A9" s="131" t="inlineStr">
        <is>
          <t>U-06</t>
        </is>
      </c>
      <c r="B9" s="132" t="inlineStr">
        <is>
          <t>VACANT (retail)</t>
        </is>
      </c>
      <c r="C9" s="132" t="inlineStr">
        <is>
          <t>—</t>
        </is>
      </c>
      <c r="D9" s="131" t="inlineStr">
        <is>
          <t>N</t>
        </is>
      </c>
      <c r="E9" s="133" t="n">
        <v>1000</v>
      </c>
      <c r="F9" s="134" t="n">
        <v>0</v>
      </c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inlineStr">
        <is>
          <t>N</t>
        </is>
      </c>
      <c r="M9" s="137" t="n">
        <v>0</v>
      </c>
      <c r="N9" s="137" t="n">
        <v>0</v>
      </c>
      <c r="O9" s="133" t="n">
        <v>0</v>
      </c>
      <c r="P9" s="131" t="inlineStr">
        <is>
          <t>N</t>
        </is>
      </c>
      <c r="Q9" s="138" t="n">
        <v>0</v>
      </c>
      <c r="R9" s="132" t="inlineStr">
        <is>
          <t>Large retail unit — former fashion anchor. 24 months dark.</t>
        </is>
      </c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0.018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0.006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3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7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4500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20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2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0.08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5000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2026-03-22T14:13:05Z</dcterms:modified>
  <cp:revision>0</cp:revision>
</cp:coreProperties>
</file>