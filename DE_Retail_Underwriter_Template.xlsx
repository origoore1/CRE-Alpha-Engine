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 Overview" sheetId="1" state="visible" r:id="rId3"/>
    <sheet name="Rent Roll" sheetId="2" state="visible" r:id="rId4"/>
    <sheet name="Cost Sheet" sheetId="3" state="visible" r:id="rId5"/>
    <sheet name="CPI Projections" sheetId="4" state="visible" r:id="rId6"/>
    <sheet name="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<sst xmlns="http://schemas.openxmlformats.org/spreadsheetml/2006/main" count="277" uniqueCount="248">
  <si>
    <t xml:space="preserve">INSTITUTIONAL RETAIL UNDERWRITER  |  DEAL OVERVIEW</t>
  </si>
  <si>
    <t xml:space="preserve">German Commercial Real Estate  –  Investment Committee Template  |  v1.0</t>
  </si>
  <si>
    <t xml:space="preserve">  A  |  PROPERTY IDENTITY</t>
  </si>
  <si>
    <t xml:space="preserve">Property Name / Asset</t>
  </si>
  <si>
    <t xml:space="preserve">e.g. Stadtgalerie Kaufbeuren</t>
  </si>
  <si>
    <t xml:space="preserve">Street Address</t>
  </si>
  <si>
    <t xml:space="preserve">City / Bundesland</t>
  </si>
  <si>
    <t xml:space="preserve">Asset Type</t>
  </si>
  <si>
    <t xml:space="preserve">Shopping Centre / Retail Park / High-Street / Mixed</t>
  </si>
  <si>
    <t xml:space="preserve">GLA – Gross Lettable Area (m²)</t>
  </si>
  <si>
    <t xml:space="preserve">Total lettable sqm incl. anchor</t>
  </si>
  <si>
    <t xml:space="preserve">Year Built / Last Refurb</t>
  </si>
  <si>
    <t xml:space="preserve">Number of Tenants</t>
  </si>
  <si>
    <t xml:space="preserve">Number of Floors</t>
  </si>
  <si>
    <t xml:space="preserve">Parking Spaces</t>
  </si>
  <si>
    <t xml:space="preserve">  B  |  TRANSACTION PARAMETERS</t>
  </si>
  <si>
    <t xml:space="preserve">Asking Price (€)</t>
  </si>
  <si>
    <t xml:space="preserve">Purchase price before costs</t>
  </si>
  <si>
    <t xml:space="preserve">Equity Investment (€)</t>
  </si>
  <si>
    <t xml:space="preserve">Own funds contributed</t>
  </si>
  <si>
    <t xml:space="preserve">Senior Loan Amount (€)</t>
  </si>
  <si>
    <t xml:space="preserve">LTV at Acquisition (%)</t>
  </si>
  <si>
    <t xml:space="preserve">GrESt Rate (%)</t>
  </si>
  <si>
    <t xml:space="preserve">3.5%–6.5% depending on Bundesland</t>
  </si>
  <si>
    <t xml:space="preserve">Notar &amp; Grundbuch (%)</t>
  </si>
  <si>
    <t xml:space="preserve">~1.5% typical</t>
  </si>
  <si>
    <t xml:space="preserve">Broker Fee (%)</t>
  </si>
  <si>
    <t xml:space="preserve">~1%–3%</t>
  </si>
  <si>
    <t xml:space="preserve">Total Acquisition Cost (€)</t>
  </si>
  <si>
    <t xml:space="preserve">Analysis Date</t>
  </si>
  <si>
    <t xml:space="preserve">Target Hold Period (Years)</t>
  </si>
  <si>
    <t xml:space="preserve">10</t>
  </si>
  <si>
    <t xml:space="preserve">  C  |  FINANCING STRUCTURE</t>
  </si>
  <si>
    <t xml:space="preserve">Interest Rate – Senior (%)</t>
  </si>
  <si>
    <t xml:space="preserve">Current market: ~4.1–4.3%</t>
  </si>
  <si>
    <t xml:space="preserve">Loan Term (Years)</t>
  </si>
  <si>
    <t xml:space="preserve">Amortisation Type</t>
  </si>
  <si>
    <t xml:space="preserve">Annuitätendarlehen / Endfällig / IO</t>
  </si>
  <si>
    <t xml:space="preserve">Annual Amortisation (%)</t>
  </si>
  <si>
    <t xml:space="preserve">2.0% standard German CRE</t>
  </si>
  <si>
    <t xml:space="preserve">Annual Debt Service (€)</t>
  </si>
  <si>
    <t xml:space="preserve">IO Period (Years)</t>
  </si>
  <si>
    <t xml:space="preserve">0–3, enter 0 if none</t>
  </si>
  <si>
    <t xml:space="preserve">  D  |  KEY OUTPUT METRICS  (auto-calculated from Rent Roll)</t>
  </si>
  <si>
    <t xml:space="preserve">KPI</t>
  </si>
  <si>
    <t xml:space="preserve">Value</t>
  </si>
  <si>
    <t xml:space="preserve">Benchmark</t>
  </si>
  <si>
    <t xml:space="preserve">Traffic Light</t>
  </si>
  <si>
    <t xml:space="preserve">Notes</t>
  </si>
  <si>
    <t xml:space="preserve">Gross Passing Rent (€/yr)</t>
  </si>
  <si>
    <t xml:space="preserve">—</t>
  </si>
  <si>
    <t xml:space="preserve">Net Operating Income (€/yr)</t>
  </si>
  <si>
    <t xml:space="preserve">Passing rent – non-recoverable costs</t>
  </si>
  <si>
    <t xml:space="preserve">Gross Initial Yield (%)</t>
  </si>
  <si>
    <t xml:space="preserve">5.5%–9% retail DE</t>
  </si>
  <si>
    <t xml:space="preserve">NOI / Purchase Price</t>
  </si>
  <si>
    <t xml:space="preserve">DSCR</t>
  </si>
  <si>
    <t xml:space="preserve">&gt;1.30x (bank min)</t>
  </si>
  <si>
    <t xml:space="preserve">NOI / Annual Debt Service</t>
  </si>
  <si>
    <t xml:space="preserve">ICR</t>
  </si>
  <si>
    <t xml:space="preserve">≥1.75x</t>
  </si>
  <si>
    <t xml:space="preserve">NOI / Interest only</t>
  </si>
  <si>
    <t xml:space="preserve">&lt;65%</t>
  </si>
  <si>
    <t xml:space="preserve">Senior loan / Purchase Price</t>
  </si>
  <si>
    <t xml:space="preserve">WAULT (Years)</t>
  </si>
  <si>
    <t xml:space="preserve">&gt;4 yrs</t>
  </si>
  <si>
    <t xml:space="preserve">Weighted Avg Unexpired Lease Term</t>
  </si>
  <si>
    <t xml:space="preserve">Vacancy Rate (%)</t>
  </si>
  <si>
    <t xml:space="preserve">&lt;10%</t>
  </si>
  <si>
    <t xml:space="preserve">Vacant m² / Total GLA</t>
  </si>
  <si>
    <t xml:space="preserve">Anchor Concentration (%)</t>
  </si>
  <si>
    <t xml:space="preserve">&lt;55%</t>
  </si>
  <si>
    <t xml:space="preserve">Top tenant rent / Total rent</t>
  </si>
  <si>
    <t xml:space="preserve">Cash-on-Cash Return (%)</t>
  </si>
  <si>
    <t xml:space="preserve">5%–8%</t>
  </si>
  <si>
    <t xml:space="preserve">(NOI – Debt Service) / Equity</t>
  </si>
  <si>
    <t xml:space="preserve">RENT ROLL  |  Institutional Input Sheet  –  Enter one row per lease unit</t>
  </si>
  <si>
    <t xml:space="preserve">Blue cells = your inputs  |  Black cells = auto-calculated  |  Max 100 rows (rows 4–103)  |  Leave vacant units with Tenant = 'VACANT'</t>
  </si>
  <si>
    <t xml:space="preserve">Unit
Ref</t>
  </si>
  <si>
    <t xml:space="preserve">Tenant
Name</t>
  </si>
  <si>
    <t xml:space="preserve">Trade
Sector</t>
  </si>
  <si>
    <t xml:space="preserve">Anchor?
(Y/N)</t>
  </si>
  <si>
    <t xml:space="preserve">Leased
Area (m²)</t>
  </si>
  <si>
    <t xml:space="preserve">Passing Rent
€/m²/mo</t>
  </si>
  <si>
    <t xml:space="preserve">Annual
Rent (€)</t>
  </si>
  <si>
    <t xml:space="preserve">Lease
Start</t>
  </si>
  <si>
    <t xml:space="preserve">Lease
Expiry</t>
  </si>
  <si>
    <t xml:space="preserve">Break
Option Date</t>
  </si>
  <si>
    <t xml:space="preserve">Unexpired
Term (Yrs)</t>
  </si>
  <si>
    <t xml:space="preserve">CPI
Clause (Y/N)</t>
  </si>
  <si>
    <t xml:space="preserve">CPI
Pass-Through %</t>
  </si>
  <si>
    <t xml:space="preserve">CPI
Trigger %</t>
  </si>
  <si>
    <t xml:space="preserve">Security
Deposit (€)</t>
  </si>
  <si>
    <t xml:space="preserve">Service Charge
Recov. (Y/N)</t>
  </si>
  <si>
    <t xml:space="preserve">Rent-Free
Months</t>
  </si>
  <si>
    <t xml:space="preserve">Notes /
Observations</t>
  </si>
  <si>
    <t xml:space="preserve">U-01</t>
  </si>
  <si>
    <t xml:space="preserve">Rewe Markt GmbH</t>
  </si>
  <si>
    <t xml:space="preserve">Food &amp; Grocery</t>
  </si>
  <si>
    <t xml:space="preserve">Y</t>
  </si>
  <si>
    <t xml:space="preserve">75%</t>
  </si>
  <si>
    <t xml:space="preserve">10%</t>
  </si>
  <si>
    <t xml:space="preserve">Anchor – index clause active</t>
  </si>
  <si>
    <t xml:space="preserve">U-02</t>
  </si>
  <si>
    <t xml:space="preserve">H&amp;M Hennes &amp; Mauritz</t>
  </si>
  <si>
    <t xml:space="preserve">Fashion</t>
  </si>
  <si>
    <t xml:space="preserve">N</t>
  </si>
  <si>
    <t xml:space="preserve">100%</t>
  </si>
  <si>
    <t xml:space="preserve">Break option June 2024 – NOT exercised</t>
  </si>
  <si>
    <t xml:space="preserve">U-03</t>
  </si>
  <si>
    <t xml:space="preserve">VACANT</t>
  </si>
  <si>
    <t xml:space="preserve">0%</t>
  </si>
  <si>
    <t xml:space="preserve">Void since Jan 2025 – actively marketed</t>
  </si>
  <si>
    <t xml:space="preserve">  SUMMARY METRICS  (referenced by Deal Overview)</t>
  </si>
  <si>
    <t xml:space="preserve">Total Leased Area (m²)</t>
  </si>
  <si>
    <t xml:space="preserve">Total Vacant Area (m²)</t>
  </si>
  <si>
    <t xml:space="preserve">Total GLA (m²)</t>
  </si>
  <si>
    <t xml:space="preserve">ERV – Estimated Rental Value</t>
  </si>
  <si>
    <t xml:space="preserve">** Enter manually from market appraisal **</t>
  </si>
  <si>
    <t xml:space="preserve">NOI (Passing Rent – Non-Recov.)</t>
  </si>
  <si>
    <t xml:space="preserve">** Link to Cost Sheet or enter manually **</t>
  </si>
  <si>
    <t xml:space="preserve">Number of Active Leases</t>
  </si>
  <si>
    <t xml:space="preserve">Number of Vacant Units</t>
  </si>
  <si>
    <t xml:space="preserve">Weighted Avg Rent (€/m²/mo)</t>
  </si>
  <si>
    <t xml:space="preserve">CPI-Indexed Lease Share (%)</t>
  </si>
  <si>
    <t xml:space="preserve">Shortest Unexpired Term (Yrs)</t>
  </si>
  <si>
    <t xml:space="preserve">COST SHEET  |  Non-Recoverable Operating Costs  —  German CRE Standard</t>
  </si>
  <si>
    <t xml:space="preserve">Blue = your inputs  |  Black = auto-calculated  |  Yellow = priority inputs  |  All figures annual (€/yr) unless noted</t>
  </si>
  <si>
    <t xml:space="preserve">  A  |  INCOME REFERENCE  (linked from Rent Roll — do not edit)</t>
  </si>
  <si>
    <t xml:space="preserve">Leased Area (m²)</t>
  </si>
  <si>
    <t xml:space="preserve">Vacant Area (m²)</t>
  </si>
  <si>
    <t xml:space="preserve">  B  |  NON-RECOVERABLE OPERATING COSTS  (Nicht-umlagefähige Kosten)</t>
  </si>
  <si>
    <t xml:space="preserve">Cost Item</t>
  </si>
  <si>
    <t xml:space="preserve">Basis</t>
  </si>
  <si>
    <t xml:space="preserve">Rate / Amount</t>
  </si>
  <si>
    <t xml:space="preserve">Annual Cost (€)</t>
  </si>
  <si>
    <t xml:space="preserve">Property Management Fee</t>
  </si>
  <si>
    <t xml:space="preserve">% of Gross Rent</t>
  </si>
  <si>
    <t xml:space="preserve">Typical German: 1.0–2.0% of gross rent. Negotiate at acquisition.</t>
  </si>
  <si>
    <t xml:space="preserve">Asset Management Fee</t>
  </si>
  <si>
    <t xml:space="preserve">Institutional owners charge 0.3–0.75% internally. External: 0.5–1.0%.</t>
  </si>
  <si>
    <t xml:space="preserve">Building Insurance (Gebäudeversicherung)</t>
  </si>
  <si>
    <t xml:space="preserve">€ per m² GLA / yr</t>
  </si>
  <si>
    <t xml:space="preserve">Range: €1.50–€4.00/m²/yr depending on age, construction, and risk.</t>
  </si>
  <si>
    <t xml:space="preserve">Structural / Capex Reserve</t>
  </si>
  <si>
    <t xml:space="preserve">IREBS benchmark: €4–€8/m²/yr for retail. Higher for older assets.</t>
  </si>
  <si>
    <t xml:space="preserve">Ground Rent — Erbpachtzins</t>
  </si>
  <si>
    <t xml:space="preserve">€ per year (if applicable)</t>
  </si>
  <si>
    <t xml:space="preserve">Enter 0 if freehold (Volleigentum). Fixed annual charge if leasehold.</t>
  </si>
  <si>
    <t xml:space="preserve">Grundsteuer — Property Tax</t>
  </si>
  <si>
    <t xml:space="preserve">€ per year</t>
  </si>
  <si>
    <t xml:space="preserve">Varies by municipality (Hebesatz). Typically passed to tenants but landlord bears cost on VACANT units — enter only the non-recoverable portion.</t>
  </si>
  <si>
    <t xml:space="preserve">Void Service Charge (on vacant units)</t>
  </si>
  <si>
    <t xml:space="preserve">€ per m² vacant / yr</t>
  </si>
  <si>
    <t xml:space="preserve">Landlord bears service charge on empty units. Typical: €15–€25/m²/yr. CRITICAL — often omitted in amateur models.</t>
  </si>
  <si>
    <t xml:space="preserve">Void Insurance (on vacant units)</t>
  </si>
  <si>
    <t xml:space="preserve">Additional insurance premium on unoccupied space. Typically €1–€2/m²/yr.</t>
  </si>
  <si>
    <t xml:space="preserve">Letting / Re-Leasing Costs</t>
  </si>
  <si>
    <t xml:space="preserve">% of Annual Rent (amortised)</t>
  </si>
  <si>
    <t xml:space="preserve">Mieterausbaukostenzuschuss + agent fee amortised over avg lease term. Retail fit-out contributions: €50–€150/m².</t>
  </si>
  <si>
    <t xml:space="preserve">Other Non-Recoverable Costs</t>
  </si>
  <si>
    <t xml:space="preserve">Legal, accounting, other non-recoverable items.</t>
  </si>
  <si>
    <t xml:space="preserve">  C  |  NOI CALCULATION BRIDGE  (referenced by Deal Overview and Python engine)</t>
  </si>
  <si>
    <t xml:space="preserve">Less: Total Non-Recoverable Costs</t>
  </si>
  <si>
    <t xml:space="preserve">NET OPERATING INCOME  (€/yr)</t>
  </si>
  <si>
    <t xml:space="preserve">Implied NOI Margin (%)</t>
  </si>
  <si>
    <t xml:space="preserve">NOI per m² GLA (€/yr)</t>
  </si>
  <si>
    <t xml:space="preserve">NOI per m² Leased (€/yr)</t>
  </si>
  <si>
    <t xml:space="preserve">10-YEAR CPI RENT PROJECTION  |  German Indexation Model</t>
  </si>
  <si>
    <t xml:space="preserve">  ASSUMPTIONS</t>
  </si>
  <si>
    <t xml:space="preserve">Base Year Gross Passing Rent (€)</t>
  </si>
  <si>
    <t xml:space="preserve">CPI Assumption – Base Case (%)</t>
  </si>
  <si>
    <t xml:space="preserve">CPI Assumption – Bear Case (%)</t>
  </si>
  <si>
    <t xml:space="preserve">CPI Assumption – Bull Case (%)</t>
  </si>
  <si>
    <t xml:space="preserve">Average CPI Pass-Through (%)</t>
  </si>
  <si>
    <t xml:space="preserve">CPI Trigger Threshold (%)</t>
  </si>
  <si>
    <t xml:space="preserve">Vacancy Growth Rate / yr (%)</t>
  </si>
  <si>
    <t xml:space="preserve">Exit Cap Rate – Base (%)</t>
  </si>
  <si>
    <t xml:space="preserve">Exit Cap Rate – Bear (%)</t>
  </si>
  <si>
    <t xml:space="preserve">Exit Cap Rate – Bull (%)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</si>
  <si>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</si>
  <si>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</si>
  <si>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</si>
  <si>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</si>
  <si>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</si>
  <si>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</si>
  <si>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</si>
  <si>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</si>
  <si>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</si>
  <si>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</si>
  <si>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</si>
  <si>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CPI Index (Base=1.0)</t>
  </si>
  <si>
    <t xml:space="preserve">Rent – Base Case (€)</t>
  </si>
  <si>
    <t xml:space="preserve">Rent – Bear Case (€)</t>
  </si>
  <si>
    <t xml:space="preserve">Rent – Bull Case (€)</t>
  </si>
  <si>
    <t xml:space="preserve">Cumulative Rent Growth – Base (%)</t>
  </si>
  <si>
    <t xml:space="preserve">Implied Exit Value – Base (€)</t>
  </si>
  <si>
    <t xml:space="preserve">Implied Exit Value – Bear (€)</t>
  </si>
  <si>
    <t xml:space="preserve">Implied Exit Value – Bull (€)</t>
  </si>
  <si>
    <t xml:space="preserve">USER GUIDE  |  Institutional Retail Underwriter v1.0</t>
  </si>
  <si>
    <t xml:space="preserve">  COLOUR CODE</t>
  </si>
  <si>
    <t xml:space="preserve">Blue text</t>
  </si>
  <si>
    <t xml:space="preserve">Hardcoded INPUT – enter your deal data here</t>
  </si>
  <si>
    <t xml:space="preserve">Black text</t>
  </si>
  <si>
    <t xml:space="preserve">Formula – calculated automatically, do not overwrite</t>
  </si>
  <si>
    <t xml:space="preserve">Yellow background</t>
  </si>
  <si>
    <t xml:space="preserve">Priority input – must not be left blank</t>
  </si>
  <si>
    <t xml:space="preserve">Light blue background</t>
  </si>
  <si>
    <t xml:space="preserve">Auto-calculated summary field</t>
  </si>
  <si>
    <t xml:space="preserve">  WORKFLOW</t>
  </si>
  <si>
    <t xml:space="preserve">Step 1</t>
  </si>
  <si>
    <t xml:space="preserve">Fill in 'Deal Overview' tab: Property Identity, Transaction, and Financing sections</t>
  </si>
  <si>
    <t xml:space="preserve">Step 2</t>
  </si>
  <si>
    <t xml:space="preserve">Fill in 'Rent Roll' tab: one row per lease unit. Use 'VACANT' as Tenant Name for empty units</t>
  </si>
  <si>
    <t xml:space="preserve">Step 3</t>
  </si>
  <si>
    <t xml:space="preserve">Check 'Deal Overview' KPI dashboard – metrics auto-populate from Rent Roll</t>
  </si>
  <si>
    <t xml:space="preserve">Step 4</t>
  </si>
  <si>
    <t xml:space="preserve">Review 'CPI Projections' – adjust CPI and Exit Cap Rate assumptions in blue cells</t>
  </si>
  <si>
    <t xml:space="preserve">Step 5</t>
  </si>
  <si>
    <t xml:space="preserve">Upload file into the Python underwriter engine for QA audit and full IC memo</t>
  </si>
  <si>
    <t xml:space="preserve">  KEY METRICS EXPLAINED</t>
  </si>
  <si>
    <t xml:space="preserve">Debt Service Coverage Ratio – NOI divided by annual debt service. Bank minimum: 1.30x</t>
  </si>
  <si>
    <t xml:space="preserve">Interest Coverage Ratio – NOI divided by interest only payment. Bank minimum: 1.75x</t>
  </si>
  <si>
    <t xml:space="preserve">WAULT</t>
  </si>
  <si>
    <t xml:space="preserve">Weighted Average Unexpired Lease Term – income-weighted remaining lease duration in years</t>
  </si>
  <si>
    <t xml:space="preserve">GIY</t>
  </si>
  <si>
    <t xml:space="preserve">Gross Initial Yield – passing rent divided by purchase price. Benchmark: 5.5–9% for DE retail</t>
  </si>
  <si>
    <t xml:space="preserve">LTV</t>
  </si>
  <si>
    <t xml:space="preserve">Loan-to-Value – senior loan divided by purchase price. Bank maximum: typically 60–65%</t>
  </si>
  <si>
    <t xml:space="preserve">NOI</t>
  </si>
  <si>
    <t xml:space="preserve">Net Operating Income – gross rent less non-recoverable operating costs (management fees, insurance)</t>
  </si>
  <si>
    <t xml:space="preserve">ERV</t>
  </si>
  <si>
    <t xml:space="preserve">Estimated Rental Value – market rent a vacant unit could achieve today per m²</t>
  </si>
  <si>
    <t xml:space="preserve">GrESt</t>
  </si>
  <si>
    <t xml:space="preserve">Grunderwerbsteuer – German real estate transfer tax, 3.5–6.5% depending on Bundesland</t>
  </si>
  <si>
    <t xml:space="preserve">AfA</t>
  </si>
  <si>
    <t xml:space="preserve">Absetzung für Abnutzung – tax depreciation, 2% linear on building value (excluding land)</t>
  </si>
  <si>
    <t xml:space="preserve">  IMPORTANT WARNINGS</t>
  </si>
  <si>
    <t xml:space="preserve">⚠ LTV &gt; 65%</t>
  </si>
  <si>
    <t xml:space="preserve">Most German CRE lenders will decline or require mezzanine financing above 65% LTV</t>
  </si>
  <si>
    <t xml:space="preserve">⚠ WAULT &lt; 3 yrs</t>
  </si>
  <si>
    <t xml:space="preserve">Short WAULT = high re-letting risk. Institutional buyers typically require WAULT &gt; 4 years</t>
  </si>
  <si>
    <t xml:space="preserve">⚠ DSCR &lt; 1.20x</t>
  </si>
  <si>
    <t xml:space="preserve">Below minimum bank covenant. Deal will not pass credit committee</t>
  </si>
  <si>
    <t xml:space="preserve">⚠ Anchor &gt; 60%</t>
  </si>
  <si>
    <t xml:space="preserve">High single-tenant concentration risk. Stress-test anchor departure scenario</t>
  </si>
  <si>
    <t xml:space="preserve">⚠ Vacancy &gt; 15%</t>
  </si>
  <si>
    <t xml:space="preserve">Significant vacancy signals distress or structural market problems for asset type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</si>
</sst>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0"/>
    <numFmt numFmtId="167" formatCode="0.0%"/>
    <numFmt numFmtId="168" formatCode="@"/>
    <numFmt numFmtId="169" formatCode="#,##0.00"/>
    <numFmt numFmtId="170" formatCode="dd/mm/yyyy"/>
    <numFmt numFmtId="171" formatCode="0.0"/>
    <numFmt numFmtId="172" formatCode="0%"/>
    <numFmt numFmtId="173" formatCode="0"/>
    <numFmt numFmtId="174" formatCode="General"/>
    <numFmt numFmtId="175" formatCode="0.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BFBFB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B050"/>
      <name val="Arial"/>
      <family val="0"/>
      <charset val="1"/>
    </font>
    <font>
      <sz val="10"/>
      <color rgb="FFFF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6" min="6" style="1" width="5"/>
    <col collapsed="false" customWidth="true" hidden="false" outlineLevel="0" max="7" min="7" style="1" width="4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9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8" hidden="false" customHeight="true" outlineLevel="0" collapsed="false">
      <c r="A5" s="5" t="s">
        <v>3</v>
      </c>
      <c r="B5" s="6"/>
      <c r="G5" s="7" t="s">
        <v>4</v>
      </c>
    </row>
    <row r="6" customFormat="false" ht="18" hidden="false" customHeight="true" outlineLevel="0" collapsed="false">
      <c r="A6" s="5" t="s">
        <v>5</v>
      </c>
      <c r="B6" s="8"/>
    </row>
    <row r="7" customFormat="false" ht="18" hidden="false" customHeight="true" outlineLevel="0" collapsed="false">
      <c r="A7" s="5" t="s">
        <v>6</v>
      </c>
      <c r="B7" s="8"/>
    </row>
    <row r="8" customFormat="false" ht="18" hidden="false" customHeight="true" outlineLevel="0" collapsed="false">
      <c r="A8" s="5" t="s">
        <v>7</v>
      </c>
      <c r="B8" s="8"/>
      <c r="G8" s="7" t="s">
        <v>8</v>
      </c>
    </row>
    <row r="9" customFormat="false" ht="18" hidden="false" customHeight="true" outlineLevel="0" collapsed="false">
      <c r="A9" s="5" t="s">
        <v>9</v>
      </c>
      <c r="B9" s="6"/>
      <c r="G9" s="7" t="s">
        <v>10</v>
      </c>
    </row>
    <row r="10" customFormat="false" ht="18" hidden="false" customHeight="true" outlineLevel="0" collapsed="false">
      <c r="A10" s="5" t="s">
        <v>11</v>
      </c>
      <c r="B10" s="8"/>
    </row>
    <row r="11" customFormat="false" ht="18" hidden="false" customHeight="true" outlineLevel="0" collapsed="false">
      <c r="A11" s="5" t="s">
        <v>12</v>
      </c>
      <c r="B11" s="8"/>
      <c r="G11" s="7" t="n">
        <f aca="false">COUNTA('Rent Roll'!B4:B103)</f>
        <v>3</v>
      </c>
    </row>
    <row r="12" customFormat="false" ht="18" hidden="false" customHeight="true" outlineLevel="0" collapsed="false">
      <c r="A12" s="5" t="s">
        <v>13</v>
      </c>
      <c r="B12" s="8"/>
    </row>
    <row r="13" customFormat="false" ht="18" hidden="false" customHeight="true" outlineLevel="0" collapsed="false">
      <c r="A13" s="5" t="s">
        <v>14</v>
      </c>
      <c r="B13" s="8"/>
    </row>
    <row r="15" customFormat="false" ht="19.5" hidden="false" customHeight="true" outlineLevel="0" collapsed="false">
      <c r="A15" s="4" t="s">
        <v>15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8" hidden="false" customHeight="true" outlineLevel="0" collapsed="false">
      <c r="A16" s="5" t="s">
        <v>16</v>
      </c>
      <c r="B16" s="6"/>
      <c r="G16" s="7" t="s">
        <v>17</v>
      </c>
    </row>
    <row r="17" customFormat="false" ht="18" hidden="false" customHeight="true" outlineLevel="0" collapsed="false">
      <c r="A17" s="5" t="s">
        <v>18</v>
      </c>
      <c r="B17" s="8"/>
      <c r="G17" s="7" t="s">
        <v>19</v>
      </c>
    </row>
    <row r="18" customFormat="false" ht="18" hidden="false" customHeight="true" outlineLevel="0" collapsed="false">
      <c r="A18" s="5" t="s">
        <v>20</v>
      </c>
      <c r="B18" s="8"/>
      <c r="G18" s="7" t="n">
        <f aca="false">B16-B17</f>
        <v>0</v>
      </c>
    </row>
    <row r="19" customFormat="false" ht="18" hidden="false" customHeight="true" outlineLevel="0" collapsed="false">
      <c r="A19" s="5" t="s">
        <v>21</v>
      </c>
      <c r="B19" s="8"/>
      <c r="G19" s="7" t="str">
        <f aca="false">IFERROR(B18/B16,"-")</f>
        <v>-</v>
      </c>
    </row>
    <row r="20" customFormat="false" ht="18" hidden="false" customHeight="true" outlineLevel="0" collapsed="false">
      <c r="A20" s="5" t="s">
        <v>22</v>
      </c>
      <c r="B20" s="8"/>
      <c r="G20" s="7" t="s">
        <v>23</v>
      </c>
    </row>
    <row r="21" customFormat="false" ht="18" hidden="false" customHeight="true" outlineLevel="0" collapsed="false">
      <c r="A21" s="5" t="s">
        <v>24</v>
      </c>
      <c r="B21" s="8"/>
      <c r="G21" s="7" t="s">
        <v>25</v>
      </c>
    </row>
    <row r="22" customFormat="false" ht="18" hidden="false" customHeight="true" outlineLevel="0" collapsed="false">
      <c r="A22" s="5" t="s">
        <v>26</v>
      </c>
      <c r="B22" s="8"/>
      <c r="G22" s="7" t="s">
        <v>27</v>
      </c>
    </row>
    <row r="23" customFormat="false" ht="18" hidden="false" customHeight="true" outlineLevel="0" collapsed="false">
      <c r="A23" s="5" t="s">
        <v>28</v>
      </c>
      <c r="B23" s="8"/>
      <c r="G23" s="7" t="n">
        <f aca="false">B16*(1+B20+B21+B22)</f>
        <v>0</v>
      </c>
    </row>
    <row r="24" customFormat="false" ht="18" hidden="false" customHeight="true" outlineLevel="0" collapsed="false">
      <c r="A24" s="5" t="s">
        <v>29</v>
      </c>
      <c r="B24" s="8"/>
    </row>
    <row r="25" customFormat="false" ht="18" hidden="false" customHeight="true" outlineLevel="0" collapsed="false">
      <c r="A25" s="5" t="s">
        <v>30</v>
      </c>
      <c r="B25" s="8"/>
      <c r="G25" s="7" t="s">
        <v>31</v>
      </c>
    </row>
    <row r="27" customFormat="false" ht="19.5" hidden="false" customHeight="true" outlineLevel="0" collapsed="false">
      <c r="A27" s="4" t="s">
        <v>32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8" hidden="false" customHeight="true" outlineLevel="0" collapsed="false">
      <c r="A28" s="5" t="s">
        <v>33</v>
      </c>
      <c r="B28" s="6"/>
      <c r="G28" s="7" t="s">
        <v>34</v>
      </c>
    </row>
    <row r="29" customFormat="false" ht="18" hidden="false" customHeight="true" outlineLevel="0" collapsed="false">
      <c r="A29" s="5" t="s">
        <v>35</v>
      </c>
      <c r="B29" s="8"/>
      <c r="G29" s="7" t="s">
        <v>31</v>
      </c>
    </row>
    <row r="30" customFormat="false" ht="18" hidden="false" customHeight="true" outlineLevel="0" collapsed="false">
      <c r="A30" s="5" t="s">
        <v>36</v>
      </c>
      <c r="B30" s="8"/>
      <c r="G30" s="7" t="s">
        <v>37</v>
      </c>
    </row>
    <row r="31" customFormat="false" ht="18" hidden="false" customHeight="true" outlineLevel="0" collapsed="false">
      <c r="A31" s="5" t="s">
        <v>38</v>
      </c>
      <c r="B31" s="8"/>
      <c r="G31" s="7" t="s">
        <v>39</v>
      </c>
    </row>
    <row r="32" customFormat="false" ht="18" hidden="false" customHeight="true" outlineLevel="0" collapsed="false">
      <c r="A32" s="5" t="s">
        <v>40</v>
      </c>
      <c r="B32" s="8"/>
      <c r="G32" s="7" t="n">
        <f aca="false">IFERROR(B18*(B28+B31),"-")</f>
        <v>0</v>
      </c>
    </row>
    <row r="33" customFormat="false" ht="18" hidden="false" customHeight="true" outlineLevel="0" collapsed="false">
      <c r="A33" s="5" t="s">
        <v>41</v>
      </c>
      <c r="B33" s="8"/>
      <c r="G33" s="7" t="s">
        <v>42</v>
      </c>
    </row>
    <row r="35" customFormat="false" ht="19.5" hidden="false" customHeight="true" outlineLevel="0" collapsed="false">
      <c r="A35" s="4" t="s">
        <v>43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5" hidden="false" customHeight="true" outlineLevel="0" collapsed="false">
      <c r="A36" s="9" t="s">
        <v>44</v>
      </c>
      <c r="B36" s="9" t="s">
        <v>45</v>
      </c>
      <c r="C36" s="9" t="s">
        <v>46</v>
      </c>
      <c r="D36" s="9" t="s">
        <v>47</v>
      </c>
      <c r="E36" s="9" t="s">
        <v>48</v>
      </c>
    </row>
    <row r="37" customFormat="false" ht="15" hidden="false" customHeight="true" outlineLevel="0" collapsed="false">
      <c r="A37" s="10" t="s">
        <v>49</v>
      </c>
      <c r="B37" s="11" t="n">
        <f aca="false">'Rent Roll'!B110</f>
        <v>450240</v>
      </c>
      <c r="C37" s="12" t="s">
        <v>50</v>
      </c>
      <c r="D37" s="13"/>
      <c r="E37" s="14"/>
    </row>
    <row r="38" customFormat="false" ht="15" hidden="false" customHeight="true" outlineLevel="0" collapsed="false">
      <c r="A38" s="15" t="s">
        <v>51</v>
      </c>
      <c r="B38" s="16" t="str">
        <f aca="false">'Rent Roll'!B112</f>
        <v>** Link to Cost Sheet or enter manually **</v>
      </c>
      <c r="C38" s="17" t="s">
        <v>50</v>
      </c>
      <c r="D38" s="18"/>
      <c r="E38" s="19" t="s">
        <v>52</v>
      </c>
    </row>
    <row r="39" customFormat="false" ht="15" hidden="false" customHeight="true" outlineLevel="0" collapsed="false">
      <c r="A39" s="10" t="s">
        <v>53</v>
      </c>
      <c r="B39" s="20" t="str">
        <f aca="false">IFERROR(B38/B16,"-")</f>
        <v>-</v>
      </c>
      <c r="C39" s="12" t="s">
        <v>54</v>
      </c>
      <c r="D39" s="13"/>
      <c r="E39" s="14" t="s">
        <v>55</v>
      </c>
    </row>
    <row r="40" customFormat="false" ht="15" hidden="false" customHeight="true" outlineLevel="0" collapsed="false">
      <c r="A40" s="15" t="s">
        <v>56</v>
      </c>
      <c r="B40" s="16" t="str">
        <f aca="false">IFERROR(B38/B32,"-")</f>
        <v>-</v>
      </c>
      <c r="C40" s="17" t="s">
        <v>57</v>
      </c>
      <c r="D40" s="18"/>
      <c r="E40" s="19" t="s">
        <v>58</v>
      </c>
    </row>
    <row r="41" customFormat="false" ht="15" hidden="false" customHeight="true" outlineLevel="0" collapsed="false">
      <c r="A41" s="10" t="s">
        <v>59</v>
      </c>
      <c r="B41" s="20" t="str">
        <f aca="false">IFERROR(B38/(B18*B28),"-")</f>
        <v>-</v>
      </c>
      <c r="C41" s="12" t="s">
        <v>60</v>
      </c>
      <c r="D41" s="13"/>
      <c r="E41" s="14" t="s">
        <v>61</v>
      </c>
    </row>
    <row r="42" customFormat="false" ht="15" hidden="false" customHeight="true" outlineLevel="0" collapsed="false">
      <c r="A42" s="15" t="s">
        <v>21</v>
      </c>
      <c r="B42" s="16" t="n">
        <f aca="false">B19</f>
        <v>0</v>
      </c>
      <c r="C42" s="17" t="s">
        <v>62</v>
      </c>
      <c r="D42" s="18"/>
      <c r="E42" s="19" t="s">
        <v>63</v>
      </c>
    </row>
    <row r="43" customFormat="false" ht="15" hidden="false" customHeight="true" outlineLevel="0" collapsed="false">
      <c r="A43" s="10" t="s">
        <v>64</v>
      </c>
      <c r="B43" s="21" t="n">
        <f aca="false">'Rent Roll'!B115</f>
        <v>2.48588678782678</v>
      </c>
      <c r="C43" s="12" t="s">
        <v>65</v>
      </c>
      <c r="D43" s="13"/>
      <c r="E43" s="14" t="s">
        <v>66</v>
      </c>
    </row>
    <row r="44" customFormat="false" ht="15" hidden="false" customHeight="true" outlineLevel="0" collapsed="false">
      <c r="A44" s="15" t="s">
        <v>67</v>
      </c>
      <c r="B44" s="22" t="n">
        <f aca="false">'Rent Roll'!B117</f>
        <v>0.106382978723404</v>
      </c>
      <c r="C44" s="17" t="s">
        <v>68</v>
      </c>
      <c r="D44" s="18"/>
      <c r="E44" s="19" t="s">
        <v>69</v>
      </c>
    </row>
    <row r="45" customFormat="false" ht="15" hidden="false" customHeight="true" outlineLevel="0" collapsed="false">
      <c r="A45" s="10" t="s">
        <v>70</v>
      </c>
      <c r="B45" s="23" t="n">
        <f aca="false">'Rent Roll'!B119</f>
        <v>0.634328358208955</v>
      </c>
      <c r="C45" s="12" t="s">
        <v>71</v>
      </c>
      <c r="D45" s="13"/>
      <c r="E45" s="14" t="s">
        <v>72</v>
      </c>
    </row>
    <row r="46" customFormat="false" ht="15" hidden="false" customHeight="true" outlineLevel="0" collapsed="false">
      <c r="A46" s="15" t="s">
        <v>73</v>
      </c>
      <c r="B46" s="16" t="str">
        <f aca="false">IFERROR((B38-B32)/B17,"-")</f>
        <v>-</v>
      </c>
      <c r="C46" s="17" t="s">
        <v>74</v>
      </c>
      <c r="D46" s="18"/>
      <c r="E46" s="19" t="s">
        <v>75</v>
      </c>
    </row>
    <row r="112" customFormat="false" ht="15" hidden="false" customHeight="false" outlineLevel="0" collapsed="false">
      <c r="B112" s="24" t="n">
        <f aca="false">'Cost Sheet'!B28</f>
        <v>378223.2</v>
      </c>
    </row>
  </sheetData>
  <mergeCells count="6">
    <mergeCell ref="A1:L1"/>
    <mergeCell ref="A2:L2"/>
    <mergeCell ref="A4:L4"/>
    <mergeCell ref="A15:L15"/>
    <mergeCell ref="A27:L27"/>
    <mergeCell ref="A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2"/>
    <col collapsed="false" customWidth="true" hidden="false" outlineLevel="0" max="11" min="11" style="1" width="11"/>
    <col collapsed="false" customWidth="true" hidden="false" outlineLevel="0" max="12" min="12" style="1" width="9"/>
    <col collapsed="false" customWidth="true" hidden="false" outlineLevel="0" max="13" min="13" style="1" width="10"/>
    <col collapsed="false" customWidth="true" hidden="false" outlineLevel="0" max="14" min="14" style="1" width="9"/>
    <col collapsed="false" customWidth="true" hidden="false" outlineLevel="0" max="16" min="15" style="1" width="13"/>
    <col collapsed="false" customWidth="true" hidden="false" outlineLevel="0" max="17" min="17" style="1" width="10"/>
    <col collapsed="false" customWidth="true" hidden="false" outlineLevel="0" max="18" min="18" style="1" width="28"/>
  </cols>
  <sheetData>
    <row r="1" customFormat="false" ht="30" hidden="false" customHeight="true" outlineLevel="0" collapsed="false">
      <c r="A1" s="25" t="s">
        <v>76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customFormat="false" ht="13.5" hidden="false" customHeight="true" outlineLevel="0" collapsed="false">
      <c r="A2" s="3" t="s">
        <v>77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6" hidden="false" customHeight="true" outlineLevel="0" collapsed="false">
      <c r="A3" s="26" t="s">
        <v>78</v>
      </c>
      <c r="B3" s="26" t="s">
        <v>79</v>
      </c>
      <c r="C3" s="26" t="s">
        <v>80</v>
      </c>
      <c r="D3" s="26" t="s">
        <v>81</v>
      </c>
      <c r="E3" s="26" t="s">
        <v>82</v>
      </c>
      <c r="F3" s="26" t="s">
        <v>83</v>
      </c>
      <c r="G3" s="26" t="s">
        <v>84</v>
      </c>
      <c r="H3" s="26" t="s">
        <v>85</v>
      </c>
      <c r="I3" s="26" t="s">
        <v>86</v>
      </c>
      <c r="J3" s="26" t="s">
        <v>87</v>
      </c>
      <c r="K3" s="26" t="s">
        <v>88</v>
      </c>
      <c r="L3" s="26" t="s">
        <v>89</v>
      </c>
      <c r="M3" s="26" t="s">
        <v>90</v>
      </c>
      <c r="N3" s="26" t="s">
        <v>91</v>
      </c>
      <c r="O3" s="26" t="s">
        <v>92</v>
      </c>
      <c r="P3" s="26" t="s">
        <v>93</v>
      </c>
      <c r="Q3" s="26" t="s">
        <v>94</v>
      </c>
      <c r="R3" s="26" t="s">
        <v>95</v>
      </c>
    </row>
    <row r="4" customFormat="false" ht="15" hidden="false" customHeight="true" outlineLevel="0" collapsed="false">
      <c r="A4" s="27" t="s">
        <v>96</v>
      </c>
      <c r="B4" s="28" t="s">
        <v>97</v>
      </c>
      <c r="C4" s="28" t="s">
        <v>98</v>
      </c>
      <c r="D4" s="27" t="s">
        <v>99</v>
      </c>
      <c r="E4" s="29" t="n">
        <v>2800</v>
      </c>
      <c r="F4" s="30" t="n">
        <v>8.5</v>
      </c>
      <c r="G4" s="31" t="n">
        <f aca="false">IFERROR(E4*F4*12,0)</f>
        <v>285600</v>
      </c>
      <c r="H4" s="32" t="n">
        <v>43466</v>
      </c>
      <c r="I4" s="32" t="n">
        <v>47483</v>
      </c>
      <c r="J4" s="32"/>
      <c r="K4" s="33" t="n">
        <f aca="true">IFERROR(IF(B4="VACANT",0,(I4-TODAY())/365.25),0)</f>
        <v>3.79739904175222</v>
      </c>
      <c r="L4" s="27" t="s">
        <v>99</v>
      </c>
      <c r="M4" s="34" t="s">
        <v>100</v>
      </c>
      <c r="N4" s="34" t="s">
        <v>101</v>
      </c>
      <c r="O4" s="29" t="n">
        <v>50000</v>
      </c>
      <c r="P4" s="27" t="s">
        <v>99</v>
      </c>
      <c r="Q4" s="35" t="n">
        <v>0</v>
      </c>
      <c r="R4" s="28" t="s">
        <v>102</v>
      </c>
    </row>
    <row r="5" customFormat="false" ht="15" hidden="false" customHeight="true" outlineLevel="0" collapsed="false">
      <c r="A5" s="36" t="s">
        <v>103</v>
      </c>
      <c r="B5" s="37" t="s">
        <v>104</v>
      </c>
      <c r="C5" s="37" t="s">
        <v>105</v>
      </c>
      <c r="D5" s="36" t="s">
        <v>106</v>
      </c>
      <c r="E5" s="38" t="n">
        <v>980</v>
      </c>
      <c r="F5" s="39" t="n">
        <v>14</v>
      </c>
      <c r="G5" s="31" t="n">
        <f aca="false">IFERROR(E5*F5*12,0)</f>
        <v>164640</v>
      </c>
      <c r="H5" s="40" t="n">
        <v>44348</v>
      </c>
      <c r="I5" s="40" t="n">
        <v>46173</v>
      </c>
      <c r="J5" s="40" t="n">
        <v>45443</v>
      </c>
      <c r="K5" s="41" t="n">
        <f aca="true">IFERROR(IF(B5="VACANT",0,(I5-TODAY())/365.25),0)</f>
        <v>0.210814510609172</v>
      </c>
      <c r="L5" s="36" t="s">
        <v>99</v>
      </c>
      <c r="M5" s="42" t="s">
        <v>107</v>
      </c>
      <c r="N5" s="42" t="s">
        <v>101</v>
      </c>
      <c r="O5" s="38" t="n">
        <v>25000</v>
      </c>
      <c r="P5" s="36" t="s">
        <v>99</v>
      </c>
      <c r="Q5" s="43" t="n">
        <v>3</v>
      </c>
      <c r="R5" s="37" t="s">
        <v>108</v>
      </c>
    </row>
    <row r="6" customFormat="false" ht="15" hidden="false" customHeight="true" outlineLevel="0" collapsed="false">
      <c r="A6" s="27" t="s">
        <v>109</v>
      </c>
      <c r="B6" s="28" t="s">
        <v>110</v>
      </c>
      <c r="C6" s="28" t="s">
        <v>50</v>
      </c>
      <c r="D6" s="27" t="s">
        <v>106</v>
      </c>
      <c r="E6" s="29" t="n">
        <v>450</v>
      </c>
      <c r="F6" s="30" t="n">
        <v>0</v>
      </c>
      <c r="G6" s="31" t="n">
        <f aca="false">IFERROR(E6*F6*12,0)</f>
        <v>0</v>
      </c>
      <c r="H6" s="32"/>
      <c r="I6" s="32"/>
      <c r="J6" s="32"/>
      <c r="K6" s="33" t="n">
        <f aca="true">IFERROR(IF(B6="VACANT",0,(I6-TODAY())/365.25),0)</f>
        <v>0</v>
      </c>
      <c r="L6" s="27" t="s">
        <v>106</v>
      </c>
      <c r="M6" s="34" t="s">
        <v>111</v>
      </c>
      <c r="N6" s="34" t="s">
        <v>111</v>
      </c>
      <c r="O6" s="29" t="n">
        <v>0</v>
      </c>
      <c r="P6" s="27" t="s">
        <v>106</v>
      </c>
      <c r="Q6" s="35" t="n">
        <v>0</v>
      </c>
      <c r="R6" s="28" t="s">
        <v>112</v>
      </c>
    </row>
    <row r="7" customFormat="false" ht="15" hidden="false" customHeight="true" outlineLevel="0" collapsed="false">
      <c r="A7" s="36"/>
      <c r="B7" s="37"/>
      <c r="C7" s="37"/>
      <c r="D7" s="36"/>
      <c r="E7" s="38"/>
      <c r="F7" s="39"/>
      <c r="G7" s="31" t="n">
        <f aca="false">IFERROR(E7*F7*12,0)</f>
        <v>0</v>
      </c>
      <c r="H7" s="40"/>
      <c r="I7" s="40"/>
      <c r="J7" s="40"/>
      <c r="K7" s="41" t="n">
        <f aca="true">IFERROR(IF(B7="VACANT",0,(I7-TODAY())/365.25),0)</f>
        <v>-126.203969883641</v>
      </c>
      <c r="L7" s="36"/>
      <c r="M7" s="42"/>
      <c r="N7" s="42"/>
      <c r="O7" s="38"/>
      <c r="P7" s="36"/>
      <c r="Q7" s="43"/>
      <c r="R7" s="37"/>
    </row>
    <row r="8" customFormat="false" ht="15" hidden="false" customHeight="true" outlineLevel="0" collapsed="false">
      <c r="A8" s="27"/>
      <c r="B8" s="28"/>
      <c r="C8" s="28"/>
      <c r="D8" s="27"/>
      <c r="E8" s="29"/>
      <c r="F8" s="30"/>
      <c r="G8" s="31" t="n">
        <f aca="false">IFERROR(E8*F8*12,0)</f>
        <v>0</v>
      </c>
      <c r="H8" s="32"/>
      <c r="I8" s="32"/>
      <c r="J8" s="32"/>
      <c r="K8" s="33" t="n">
        <f aca="true">IFERROR(IF(B8="VACANT",0,(I8-TODAY())/365.25),0)</f>
        <v>-126.203969883641</v>
      </c>
      <c r="L8" s="27"/>
      <c r="M8" s="34"/>
      <c r="N8" s="34"/>
      <c r="O8" s="29"/>
      <c r="P8" s="27"/>
      <c r="Q8" s="35"/>
      <c r="R8" s="28"/>
    </row>
    <row r="9" customFormat="false" ht="15" hidden="false" customHeight="true" outlineLevel="0" collapsed="false">
      <c r="A9" s="36"/>
      <c r="B9" s="37"/>
      <c r="C9" s="37"/>
      <c r="D9" s="36"/>
      <c r="E9" s="38"/>
      <c r="F9" s="39"/>
      <c r="G9" s="31" t="n">
        <f aca="false">IFERROR(E9*F9*12,0)</f>
        <v>0</v>
      </c>
      <c r="H9" s="40"/>
      <c r="I9" s="40"/>
      <c r="J9" s="40"/>
      <c r="K9" s="41" t="n">
        <f aca="true">IFERROR(IF(B9="VACANT",0,(I9-TODAY())/365.25),0)</f>
        <v>-126.203969883641</v>
      </c>
      <c r="L9" s="36"/>
      <c r="M9" s="42"/>
      <c r="N9" s="42"/>
      <c r="O9" s="38"/>
      <c r="P9" s="36"/>
      <c r="Q9" s="43"/>
      <c r="R9" s="37"/>
    </row>
    <row r="10" customFormat="false" ht="15" hidden="false" customHeight="true" outlineLevel="0" collapsed="false">
      <c r="A10" s="27"/>
      <c r="B10" s="28"/>
      <c r="C10" s="28"/>
      <c r="D10" s="27"/>
      <c r="E10" s="29"/>
      <c r="F10" s="30"/>
      <c r="G10" s="31" t="n">
        <f aca="false">IFERROR(E10*F10*12,0)</f>
        <v>0</v>
      </c>
      <c r="H10" s="32"/>
      <c r="I10" s="32"/>
      <c r="J10" s="32"/>
      <c r="K10" s="33" t="n">
        <f aca="true">IFERROR(IF(B10="VACANT",0,(I10-TODAY())/365.25),0)</f>
        <v>-126.203969883641</v>
      </c>
      <c r="L10" s="27"/>
      <c r="M10" s="34"/>
      <c r="N10" s="34"/>
      <c r="O10" s="29"/>
      <c r="P10" s="27"/>
      <c r="Q10" s="35"/>
      <c r="R10" s="28"/>
    </row>
    <row r="11" customFormat="false" ht="15" hidden="false" customHeight="true" outlineLevel="0" collapsed="false">
      <c r="A11" s="36"/>
      <c r="B11" s="37"/>
      <c r="C11" s="37"/>
      <c r="D11" s="36"/>
      <c r="E11" s="38"/>
      <c r="F11" s="39"/>
      <c r="G11" s="31" t="n">
        <f aca="false">IFERROR(E11*F11*12,0)</f>
        <v>0</v>
      </c>
      <c r="H11" s="40"/>
      <c r="I11" s="40"/>
      <c r="J11" s="40"/>
      <c r="K11" s="41" t="n">
        <f aca="true">IFERROR(IF(B11="VACANT",0,(I11-TODAY())/365.25),0)</f>
        <v>-126.203969883641</v>
      </c>
      <c r="L11" s="36"/>
      <c r="M11" s="42"/>
      <c r="N11" s="42"/>
      <c r="O11" s="38"/>
      <c r="P11" s="36"/>
      <c r="Q11" s="43"/>
      <c r="R11" s="37"/>
    </row>
    <row r="12" customFormat="false" ht="15" hidden="false" customHeight="true" outlineLevel="0" collapsed="false">
      <c r="A12" s="27"/>
      <c r="B12" s="28"/>
      <c r="C12" s="28"/>
      <c r="D12" s="27"/>
      <c r="E12" s="29"/>
      <c r="F12" s="30"/>
      <c r="G12" s="31" t="n">
        <f aca="false">IFERROR(E12*F12*12,0)</f>
        <v>0</v>
      </c>
      <c r="H12" s="32"/>
      <c r="I12" s="32"/>
      <c r="J12" s="32"/>
      <c r="K12" s="33" t="n">
        <f aca="true">IFERROR(IF(B12="VACANT",0,(I12-TODAY())/365.25),0)</f>
        <v>-126.203969883641</v>
      </c>
      <c r="L12" s="27"/>
      <c r="M12" s="34"/>
      <c r="N12" s="34"/>
      <c r="O12" s="29"/>
      <c r="P12" s="27"/>
      <c r="Q12" s="35"/>
      <c r="R12" s="28"/>
    </row>
    <row r="13" customFormat="false" ht="15" hidden="false" customHeight="true" outlineLevel="0" collapsed="false">
      <c r="A13" s="36"/>
      <c r="B13" s="37"/>
      <c r="C13" s="37"/>
      <c r="D13" s="36"/>
      <c r="E13" s="38"/>
      <c r="F13" s="39"/>
      <c r="G13" s="31" t="n">
        <f aca="false">IFERROR(E13*F13*12,0)</f>
        <v>0</v>
      </c>
      <c r="H13" s="40"/>
      <c r="I13" s="40"/>
      <c r="J13" s="40"/>
      <c r="K13" s="41" t="n">
        <f aca="true">IFERROR(IF(B13="VACANT",0,(I13-TODAY())/365.25),0)</f>
        <v>-126.203969883641</v>
      </c>
      <c r="L13" s="36"/>
      <c r="M13" s="42"/>
      <c r="N13" s="42"/>
      <c r="O13" s="38"/>
      <c r="P13" s="36"/>
      <c r="Q13" s="43"/>
      <c r="R13" s="37"/>
    </row>
    <row r="14" customFormat="false" ht="15" hidden="false" customHeight="true" outlineLevel="0" collapsed="false">
      <c r="A14" s="27"/>
      <c r="B14" s="28"/>
      <c r="C14" s="28"/>
      <c r="D14" s="27"/>
      <c r="E14" s="29"/>
      <c r="F14" s="30"/>
      <c r="G14" s="31" t="n">
        <f aca="false">IFERROR(E14*F14*12,0)</f>
        <v>0</v>
      </c>
      <c r="H14" s="32"/>
      <c r="I14" s="32"/>
      <c r="J14" s="32"/>
      <c r="K14" s="33" t="n">
        <f aca="true">IFERROR(IF(B14="VACANT",0,(I14-TODAY())/365.25),0)</f>
        <v>-126.203969883641</v>
      </c>
      <c r="L14" s="27"/>
      <c r="M14" s="34"/>
      <c r="N14" s="34"/>
      <c r="O14" s="29"/>
      <c r="P14" s="27"/>
      <c r="Q14" s="35"/>
      <c r="R14" s="28"/>
    </row>
    <row r="15" customFormat="false" ht="15" hidden="false" customHeight="true" outlineLevel="0" collapsed="false">
      <c r="A15" s="36"/>
      <c r="B15" s="37"/>
      <c r="C15" s="37"/>
      <c r="D15" s="36"/>
      <c r="E15" s="38"/>
      <c r="F15" s="39"/>
      <c r="G15" s="31" t="n">
        <f aca="false">IFERROR(E15*F15*12,0)</f>
        <v>0</v>
      </c>
      <c r="H15" s="40"/>
      <c r="I15" s="40"/>
      <c r="J15" s="40"/>
      <c r="K15" s="41" t="n">
        <f aca="true">IFERROR(IF(B15="VACANT",0,(I15-TODAY())/365.25),0)</f>
        <v>-126.203969883641</v>
      </c>
      <c r="L15" s="36"/>
      <c r="M15" s="42"/>
      <c r="N15" s="42"/>
      <c r="O15" s="38"/>
      <c r="P15" s="36"/>
      <c r="Q15" s="43"/>
      <c r="R15" s="37"/>
    </row>
    <row r="16" customFormat="false" ht="15" hidden="false" customHeight="true" outlineLevel="0" collapsed="false">
      <c r="A16" s="27"/>
      <c r="B16" s="28"/>
      <c r="C16" s="28"/>
      <c r="D16" s="27"/>
      <c r="E16" s="29"/>
      <c r="F16" s="30"/>
      <c r="G16" s="31" t="n">
        <f aca="false">IFERROR(E16*F16*12,0)</f>
        <v>0</v>
      </c>
      <c r="H16" s="32"/>
      <c r="I16" s="32"/>
      <c r="J16" s="32"/>
      <c r="K16" s="33" t="n">
        <f aca="true">IFERROR(IF(B16="VACANT",0,(I16-TODAY())/365.25),0)</f>
        <v>-126.203969883641</v>
      </c>
      <c r="L16" s="27"/>
      <c r="M16" s="34"/>
      <c r="N16" s="34"/>
      <c r="O16" s="29"/>
      <c r="P16" s="27"/>
      <c r="Q16" s="35"/>
      <c r="R16" s="28"/>
    </row>
    <row r="17" customFormat="false" ht="15" hidden="false" customHeight="true" outlineLevel="0" collapsed="false">
      <c r="A17" s="36"/>
      <c r="B17" s="37"/>
      <c r="C17" s="37"/>
      <c r="D17" s="36"/>
      <c r="E17" s="38"/>
      <c r="F17" s="39"/>
      <c r="G17" s="31" t="n">
        <f aca="false">IFERROR(E17*F17*12,0)</f>
        <v>0</v>
      </c>
      <c r="H17" s="40"/>
      <c r="I17" s="40"/>
      <c r="J17" s="40"/>
      <c r="K17" s="41" t="n">
        <f aca="true">IFERROR(IF(B17="VACANT",0,(I17-TODAY())/365.25),0)</f>
        <v>-126.203969883641</v>
      </c>
      <c r="L17" s="36"/>
      <c r="M17" s="42"/>
      <c r="N17" s="42"/>
      <c r="O17" s="38"/>
      <c r="P17" s="36"/>
      <c r="Q17" s="43"/>
      <c r="R17" s="37"/>
    </row>
    <row r="18" customFormat="false" ht="15" hidden="false" customHeight="true" outlineLevel="0" collapsed="false">
      <c r="A18" s="27"/>
      <c r="B18" s="28"/>
      <c r="C18" s="28"/>
      <c r="D18" s="27"/>
      <c r="E18" s="29"/>
      <c r="F18" s="30"/>
      <c r="G18" s="31" t="n">
        <f aca="false">IFERROR(E18*F18*12,0)</f>
        <v>0</v>
      </c>
      <c r="H18" s="32"/>
      <c r="I18" s="32"/>
      <c r="J18" s="32"/>
      <c r="K18" s="33" t="n">
        <f aca="true">IFERROR(IF(B18="VACANT",0,(I18-TODAY())/365.25),0)</f>
        <v>-126.203969883641</v>
      </c>
      <c r="L18" s="27"/>
      <c r="M18" s="34"/>
      <c r="N18" s="34"/>
      <c r="O18" s="29"/>
      <c r="P18" s="27"/>
      <c r="Q18" s="35"/>
      <c r="R18" s="28"/>
    </row>
    <row r="19" customFormat="false" ht="15" hidden="false" customHeight="true" outlineLevel="0" collapsed="false">
      <c r="A19" s="36"/>
      <c r="B19" s="37"/>
      <c r="C19" s="37"/>
      <c r="D19" s="36"/>
      <c r="E19" s="38"/>
      <c r="F19" s="39"/>
      <c r="G19" s="31" t="n">
        <f aca="false">IFERROR(E19*F19*12,0)</f>
        <v>0</v>
      </c>
      <c r="H19" s="40"/>
      <c r="I19" s="40"/>
      <c r="J19" s="40"/>
      <c r="K19" s="41" t="n">
        <f aca="true">IFERROR(IF(B19="VACANT",0,(I19-TODAY())/365.25),0)</f>
        <v>-126.203969883641</v>
      </c>
      <c r="L19" s="36"/>
      <c r="M19" s="42"/>
      <c r="N19" s="42"/>
      <c r="O19" s="38"/>
      <c r="P19" s="36"/>
      <c r="Q19" s="43"/>
      <c r="R19" s="37"/>
    </row>
    <row r="20" customFormat="false" ht="15" hidden="false" customHeight="true" outlineLevel="0" collapsed="false">
      <c r="A20" s="27"/>
      <c r="B20" s="28"/>
      <c r="C20" s="28"/>
      <c r="D20" s="27"/>
      <c r="E20" s="29"/>
      <c r="F20" s="30"/>
      <c r="G20" s="31" t="n">
        <f aca="false">IFERROR(E20*F20*12,0)</f>
        <v>0</v>
      </c>
      <c r="H20" s="32"/>
      <c r="I20" s="32"/>
      <c r="J20" s="32"/>
      <c r="K20" s="33" t="n">
        <f aca="true">IFERROR(IF(B20="VACANT",0,(I20-TODAY())/365.25),0)</f>
        <v>-126.203969883641</v>
      </c>
      <c r="L20" s="27"/>
      <c r="M20" s="34"/>
      <c r="N20" s="34"/>
      <c r="O20" s="29"/>
      <c r="P20" s="27"/>
      <c r="Q20" s="35"/>
      <c r="R20" s="28"/>
    </row>
    <row r="21" customFormat="false" ht="15" hidden="false" customHeight="true" outlineLevel="0" collapsed="false">
      <c r="A21" s="36"/>
      <c r="B21" s="37"/>
      <c r="C21" s="37"/>
      <c r="D21" s="36"/>
      <c r="E21" s="38"/>
      <c r="F21" s="39"/>
      <c r="G21" s="31" t="n">
        <f aca="false">IFERROR(E21*F21*12,0)</f>
        <v>0</v>
      </c>
      <c r="H21" s="40"/>
      <c r="I21" s="40"/>
      <c r="J21" s="40"/>
      <c r="K21" s="41" t="n">
        <f aca="true">IFERROR(IF(B21="VACANT",0,(I21-TODAY())/365.25),0)</f>
        <v>-126.203969883641</v>
      </c>
      <c r="L21" s="36"/>
      <c r="M21" s="42"/>
      <c r="N21" s="42"/>
      <c r="O21" s="38"/>
      <c r="P21" s="36"/>
      <c r="Q21" s="43"/>
      <c r="R21" s="37"/>
    </row>
    <row r="22" customFormat="false" ht="15" hidden="false" customHeight="true" outlineLevel="0" collapsed="false">
      <c r="A22" s="27"/>
      <c r="B22" s="28"/>
      <c r="C22" s="28"/>
      <c r="D22" s="27"/>
      <c r="E22" s="29"/>
      <c r="F22" s="30"/>
      <c r="G22" s="31" t="n">
        <f aca="false">IFERROR(E22*F22*12,0)</f>
        <v>0</v>
      </c>
      <c r="H22" s="32"/>
      <c r="I22" s="32"/>
      <c r="J22" s="32"/>
      <c r="K22" s="33" t="n">
        <f aca="true">IFERROR(IF(B22="VACANT",0,(I22-TODAY())/365.25),0)</f>
        <v>-126.203969883641</v>
      </c>
      <c r="L22" s="27"/>
      <c r="M22" s="34"/>
      <c r="N22" s="34"/>
      <c r="O22" s="29"/>
      <c r="P22" s="27"/>
      <c r="Q22" s="35"/>
      <c r="R22" s="28"/>
    </row>
    <row r="23" customFormat="false" ht="15" hidden="false" customHeight="true" outlineLevel="0" collapsed="false">
      <c r="A23" s="36"/>
      <c r="B23" s="37"/>
      <c r="C23" s="37"/>
      <c r="D23" s="36"/>
      <c r="E23" s="38"/>
      <c r="F23" s="39"/>
      <c r="G23" s="31" t="n">
        <f aca="false">IFERROR(E23*F23*12,0)</f>
        <v>0</v>
      </c>
      <c r="H23" s="40"/>
      <c r="I23" s="40"/>
      <c r="J23" s="40"/>
      <c r="K23" s="41" t="n">
        <f aca="true">IFERROR(IF(B23="VACANT",0,(I23-TODAY())/365.25),0)</f>
        <v>-126.203969883641</v>
      </c>
      <c r="L23" s="36"/>
      <c r="M23" s="42"/>
      <c r="N23" s="42"/>
      <c r="O23" s="38"/>
      <c r="P23" s="36"/>
      <c r="Q23" s="43"/>
      <c r="R23" s="37"/>
    </row>
    <row r="24" customFormat="false" ht="15" hidden="false" customHeight="true" outlineLevel="0" collapsed="false">
      <c r="A24" s="27"/>
      <c r="B24" s="28"/>
      <c r="C24" s="28"/>
      <c r="D24" s="27"/>
      <c r="E24" s="29"/>
      <c r="F24" s="30"/>
      <c r="G24" s="31" t="n">
        <f aca="false">IFERROR(E24*F24*12,0)</f>
        <v>0</v>
      </c>
      <c r="H24" s="32"/>
      <c r="I24" s="32"/>
      <c r="J24" s="32"/>
      <c r="K24" s="33" t="n">
        <f aca="true">IFERROR(IF(B24="VACANT",0,(I24-TODAY())/365.25),0)</f>
        <v>-126.203969883641</v>
      </c>
      <c r="L24" s="27"/>
      <c r="M24" s="34"/>
      <c r="N24" s="34"/>
      <c r="O24" s="29"/>
      <c r="P24" s="27"/>
      <c r="Q24" s="35"/>
      <c r="R24" s="28"/>
    </row>
    <row r="25" customFormat="false" ht="15" hidden="false" customHeight="true" outlineLevel="0" collapsed="false">
      <c r="A25" s="36"/>
      <c r="B25" s="37"/>
      <c r="C25" s="37"/>
      <c r="D25" s="36"/>
      <c r="E25" s="38"/>
      <c r="F25" s="39"/>
      <c r="G25" s="31" t="n">
        <f aca="false">IFERROR(E25*F25*12,0)</f>
        <v>0</v>
      </c>
      <c r="H25" s="40"/>
      <c r="I25" s="40"/>
      <c r="J25" s="40"/>
      <c r="K25" s="41" t="n">
        <f aca="true">IFERROR(IF(B25="VACANT",0,(I25-TODAY())/365.25),0)</f>
        <v>-126.203969883641</v>
      </c>
      <c r="L25" s="36"/>
      <c r="M25" s="42"/>
      <c r="N25" s="42"/>
      <c r="O25" s="38"/>
      <c r="P25" s="36"/>
      <c r="Q25" s="43"/>
      <c r="R25" s="37"/>
    </row>
    <row r="26" customFormat="false" ht="15" hidden="false" customHeight="true" outlineLevel="0" collapsed="false">
      <c r="A26" s="27"/>
      <c r="B26" s="28"/>
      <c r="C26" s="28"/>
      <c r="D26" s="27"/>
      <c r="E26" s="29"/>
      <c r="F26" s="30"/>
      <c r="G26" s="31" t="n">
        <f aca="false">IFERROR(E26*F26*12,0)</f>
        <v>0</v>
      </c>
      <c r="H26" s="32"/>
      <c r="I26" s="32"/>
      <c r="J26" s="32"/>
      <c r="K26" s="33" t="n">
        <f aca="true">IFERROR(IF(B26="VACANT",0,(I26-TODAY())/365.25),0)</f>
        <v>-126.203969883641</v>
      </c>
      <c r="L26" s="27"/>
      <c r="M26" s="34"/>
      <c r="N26" s="34"/>
      <c r="O26" s="29"/>
      <c r="P26" s="27"/>
      <c r="Q26" s="35"/>
      <c r="R26" s="28"/>
    </row>
    <row r="27" customFormat="false" ht="15" hidden="false" customHeight="true" outlineLevel="0" collapsed="false">
      <c r="A27" s="36"/>
      <c r="B27" s="37"/>
      <c r="C27" s="37"/>
      <c r="D27" s="36"/>
      <c r="E27" s="38"/>
      <c r="F27" s="39"/>
      <c r="G27" s="31" t="n">
        <f aca="false">IFERROR(E27*F27*12,0)</f>
        <v>0</v>
      </c>
      <c r="H27" s="40"/>
      <c r="I27" s="40"/>
      <c r="J27" s="40"/>
      <c r="K27" s="41" t="n">
        <f aca="true">IFERROR(IF(B27="VACANT",0,(I27-TODAY())/365.25),0)</f>
        <v>-126.203969883641</v>
      </c>
      <c r="L27" s="36"/>
      <c r="M27" s="42"/>
      <c r="N27" s="42"/>
      <c r="O27" s="38"/>
      <c r="P27" s="36"/>
      <c r="Q27" s="43"/>
      <c r="R27" s="37"/>
    </row>
    <row r="28" customFormat="false" ht="15" hidden="false" customHeight="true" outlineLevel="0" collapsed="false">
      <c r="A28" s="27"/>
      <c r="B28" s="28"/>
      <c r="C28" s="28"/>
      <c r="D28" s="27"/>
      <c r="E28" s="29"/>
      <c r="F28" s="30"/>
      <c r="G28" s="31" t="n">
        <f aca="false">IFERROR(E28*F28*12,0)</f>
        <v>0</v>
      </c>
      <c r="H28" s="32"/>
      <c r="I28" s="32"/>
      <c r="J28" s="32"/>
      <c r="K28" s="33" t="n">
        <f aca="true">IFERROR(IF(B28="VACANT",0,(I28-TODAY())/365.25),0)</f>
        <v>-126.203969883641</v>
      </c>
      <c r="L28" s="27"/>
      <c r="M28" s="34"/>
      <c r="N28" s="34"/>
      <c r="O28" s="29"/>
      <c r="P28" s="27"/>
      <c r="Q28" s="35"/>
      <c r="R28" s="28"/>
    </row>
    <row r="29" customFormat="false" ht="15" hidden="false" customHeight="true" outlineLevel="0" collapsed="false">
      <c r="A29" s="36"/>
      <c r="B29" s="37"/>
      <c r="C29" s="37"/>
      <c r="D29" s="36"/>
      <c r="E29" s="38"/>
      <c r="F29" s="39"/>
      <c r="G29" s="31" t="n">
        <f aca="false">IFERROR(E29*F29*12,0)</f>
        <v>0</v>
      </c>
      <c r="H29" s="40"/>
      <c r="I29" s="40"/>
      <c r="J29" s="40"/>
      <c r="K29" s="41" t="n">
        <f aca="true">IFERROR(IF(B29="VACANT",0,(I29-TODAY())/365.25),0)</f>
        <v>-126.203969883641</v>
      </c>
      <c r="L29" s="36"/>
      <c r="M29" s="42"/>
      <c r="N29" s="42"/>
      <c r="O29" s="38"/>
      <c r="P29" s="36"/>
      <c r="Q29" s="43"/>
      <c r="R29" s="37"/>
    </row>
    <row r="30" customFormat="false" ht="15" hidden="false" customHeight="true" outlineLevel="0" collapsed="false">
      <c r="A30" s="27"/>
      <c r="B30" s="28"/>
      <c r="C30" s="28"/>
      <c r="D30" s="27"/>
      <c r="E30" s="29"/>
      <c r="F30" s="30"/>
      <c r="G30" s="31" t="n">
        <f aca="false">IFERROR(E30*F30*12,0)</f>
        <v>0</v>
      </c>
      <c r="H30" s="32"/>
      <c r="I30" s="32"/>
      <c r="J30" s="32"/>
      <c r="K30" s="33" t="n">
        <f aca="true">IFERROR(IF(B30="VACANT",0,(I30-TODAY())/365.25),0)</f>
        <v>-126.203969883641</v>
      </c>
      <c r="L30" s="27"/>
      <c r="M30" s="34"/>
      <c r="N30" s="34"/>
      <c r="O30" s="29"/>
      <c r="P30" s="27"/>
      <c r="Q30" s="35"/>
      <c r="R30" s="28"/>
    </row>
    <row r="31" customFormat="false" ht="15" hidden="false" customHeight="true" outlineLevel="0" collapsed="false">
      <c r="A31" s="36"/>
      <c r="B31" s="37"/>
      <c r="C31" s="37"/>
      <c r="D31" s="36"/>
      <c r="E31" s="38"/>
      <c r="F31" s="39"/>
      <c r="G31" s="31" t="n">
        <f aca="false">IFERROR(E31*F31*12,0)</f>
        <v>0</v>
      </c>
      <c r="H31" s="40"/>
      <c r="I31" s="40"/>
      <c r="J31" s="40"/>
      <c r="K31" s="41" t="n">
        <f aca="true">IFERROR(IF(B31="VACANT",0,(I31-TODAY())/365.25),0)</f>
        <v>-126.203969883641</v>
      </c>
      <c r="L31" s="36"/>
      <c r="M31" s="42"/>
      <c r="N31" s="42"/>
      <c r="O31" s="38"/>
      <c r="P31" s="36"/>
      <c r="Q31" s="43"/>
      <c r="R31" s="37"/>
    </row>
    <row r="32" customFormat="false" ht="15" hidden="false" customHeight="true" outlineLevel="0" collapsed="false">
      <c r="A32" s="27"/>
      <c r="B32" s="28"/>
      <c r="C32" s="28"/>
      <c r="D32" s="27"/>
      <c r="E32" s="29"/>
      <c r="F32" s="30"/>
      <c r="G32" s="31" t="n">
        <f aca="false">IFERROR(E32*F32*12,0)</f>
        <v>0</v>
      </c>
      <c r="H32" s="32"/>
      <c r="I32" s="32"/>
      <c r="J32" s="32"/>
      <c r="K32" s="33" t="n">
        <f aca="true">IFERROR(IF(B32="VACANT",0,(I32-TODAY())/365.25),0)</f>
        <v>-126.203969883641</v>
      </c>
      <c r="L32" s="27"/>
      <c r="M32" s="34"/>
      <c r="N32" s="34"/>
      <c r="O32" s="29"/>
      <c r="P32" s="27"/>
      <c r="Q32" s="35"/>
      <c r="R32" s="28"/>
    </row>
    <row r="33" customFormat="false" ht="15" hidden="false" customHeight="true" outlineLevel="0" collapsed="false">
      <c r="A33" s="36"/>
      <c r="B33" s="37"/>
      <c r="C33" s="37"/>
      <c r="D33" s="36"/>
      <c r="E33" s="38"/>
      <c r="F33" s="39"/>
      <c r="G33" s="31" t="n">
        <f aca="false">IFERROR(E33*F33*12,0)</f>
        <v>0</v>
      </c>
      <c r="H33" s="40"/>
      <c r="I33" s="40"/>
      <c r="J33" s="40"/>
      <c r="K33" s="41" t="n">
        <f aca="true">IFERROR(IF(B33="VACANT",0,(I33-TODAY())/365.25),0)</f>
        <v>-126.203969883641</v>
      </c>
      <c r="L33" s="36"/>
      <c r="M33" s="42"/>
      <c r="N33" s="42"/>
      <c r="O33" s="38"/>
      <c r="P33" s="36"/>
      <c r="Q33" s="43"/>
      <c r="R33" s="37"/>
    </row>
    <row r="34" customFormat="false" ht="15" hidden="false" customHeight="true" outlineLevel="0" collapsed="false">
      <c r="A34" s="27"/>
      <c r="B34" s="28"/>
      <c r="C34" s="28"/>
      <c r="D34" s="27"/>
      <c r="E34" s="29"/>
      <c r="F34" s="30"/>
      <c r="G34" s="31" t="n">
        <f aca="false">IFERROR(E34*F34*12,0)</f>
        <v>0</v>
      </c>
      <c r="H34" s="32"/>
      <c r="I34" s="32"/>
      <c r="J34" s="32"/>
      <c r="K34" s="33" t="n">
        <f aca="true">IFERROR(IF(B34="VACANT",0,(I34-TODAY())/365.25),0)</f>
        <v>-126.203969883641</v>
      </c>
      <c r="L34" s="27"/>
      <c r="M34" s="34"/>
      <c r="N34" s="34"/>
      <c r="O34" s="29"/>
      <c r="P34" s="27"/>
      <c r="Q34" s="35"/>
      <c r="R34" s="28"/>
    </row>
    <row r="35" customFormat="false" ht="15" hidden="false" customHeight="true" outlineLevel="0" collapsed="false">
      <c r="A35" s="36"/>
      <c r="B35" s="37"/>
      <c r="C35" s="37"/>
      <c r="D35" s="36"/>
      <c r="E35" s="38"/>
      <c r="F35" s="39"/>
      <c r="G35" s="31" t="n">
        <f aca="false">IFERROR(E35*F35*12,0)</f>
        <v>0</v>
      </c>
      <c r="H35" s="40"/>
      <c r="I35" s="40"/>
      <c r="J35" s="40"/>
      <c r="K35" s="41" t="n">
        <f aca="true">IFERROR(IF(B35="VACANT",0,(I35-TODAY())/365.25),0)</f>
        <v>-126.203969883641</v>
      </c>
      <c r="L35" s="36"/>
      <c r="M35" s="42"/>
      <c r="N35" s="42"/>
      <c r="O35" s="38"/>
      <c r="P35" s="36"/>
      <c r="Q35" s="43"/>
      <c r="R35" s="37"/>
    </row>
    <row r="36" customFormat="false" ht="15" hidden="false" customHeight="true" outlineLevel="0" collapsed="false">
      <c r="A36" s="27"/>
      <c r="B36" s="28"/>
      <c r="C36" s="28"/>
      <c r="D36" s="27"/>
      <c r="E36" s="29"/>
      <c r="F36" s="30"/>
      <c r="G36" s="31" t="n">
        <f aca="false">IFERROR(E36*F36*12,0)</f>
        <v>0</v>
      </c>
      <c r="H36" s="32"/>
      <c r="I36" s="32"/>
      <c r="J36" s="32"/>
      <c r="K36" s="33" t="n">
        <f aca="true">IFERROR(IF(B36="VACANT",0,(I36-TODAY())/365.25),0)</f>
        <v>-126.203969883641</v>
      </c>
      <c r="L36" s="27"/>
      <c r="M36" s="34"/>
      <c r="N36" s="34"/>
      <c r="O36" s="29"/>
      <c r="P36" s="27"/>
      <c r="Q36" s="35"/>
      <c r="R36" s="28"/>
    </row>
    <row r="37" customFormat="false" ht="15" hidden="false" customHeight="true" outlineLevel="0" collapsed="false">
      <c r="A37" s="36"/>
      <c r="B37" s="37"/>
      <c r="C37" s="37"/>
      <c r="D37" s="36"/>
      <c r="E37" s="38"/>
      <c r="F37" s="39"/>
      <c r="G37" s="31" t="n">
        <f aca="false">IFERROR(E37*F37*12,0)</f>
        <v>0</v>
      </c>
      <c r="H37" s="40"/>
      <c r="I37" s="40"/>
      <c r="J37" s="40"/>
      <c r="K37" s="41" t="n">
        <f aca="true">IFERROR(IF(B37="VACANT",0,(I37-TODAY())/365.25),0)</f>
        <v>-126.203969883641</v>
      </c>
      <c r="L37" s="36"/>
      <c r="M37" s="42"/>
      <c r="N37" s="42"/>
      <c r="O37" s="38"/>
      <c r="P37" s="36"/>
      <c r="Q37" s="43"/>
      <c r="R37" s="37"/>
    </row>
    <row r="38" customFormat="false" ht="15" hidden="false" customHeight="true" outlineLevel="0" collapsed="false">
      <c r="A38" s="27"/>
      <c r="B38" s="28"/>
      <c r="C38" s="28"/>
      <c r="D38" s="27"/>
      <c r="E38" s="29"/>
      <c r="F38" s="30"/>
      <c r="G38" s="31" t="n">
        <f aca="false">IFERROR(E38*F38*12,0)</f>
        <v>0</v>
      </c>
      <c r="H38" s="32"/>
      <c r="I38" s="32"/>
      <c r="J38" s="32"/>
      <c r="K38" s="33" t="n">
        <f aca="true">IFERROR(IF(B38="VACANT",0,(I38-TODAY())/365.25),0)</f>
        <v>-126.203969883641</v>
      </c>
      <c r="L38" s="27"/>
      <c r="M38" s="34"/>
      <c r="N38" s="34"/>
      <c r="O38" s="29"/>
      <c r="P38" s="27"/>
      <c r="Q38" s="35"/>
      <c r="R38" s="28"/>
    </row>
    <row r="39" customFormat="false" ht="15" hidden="false" customHeight="true" outlineLevel="0" collapsed="false">
      <c r="A39" s="36"/>
      <c r="B39" s="37"/>
      <c r="C39" s="37"/>
      <c r="D39" s="36"/>
      <c r="E39" s="38"/>
      <c r="F39" s="39"/>
      <c r="G39" s="31" t="n">
        <f aca="false">IFERROR(E39*F39*12,0)</f>
        <v>0</v>
      </c>
      <c r="H39" s="40"/>
      <c r="I39" s="40"/>
      <c r="J39" s="40"/>
      <c r="K39" s="41" t="n">
        <f aca="true">IFERROR(IF(B39="VACANT",0,(I39-TODAY())/365.25),0)</f>
        <v>-126.203969883641</v>
      </c>
      <c r="L39" s="36"/>
      <c r="M39" s="42"/>
      <c r="N39" s="42"/>
      <c r="O39" s="38"/>
      <c r="P39" s="36"/>
      <c r="Q39" s="43"/>
      <c r="R39" s="37"/>
    </row>
    <row r="40" customFormat="false" ht="15" hidden="false" customHeight="true" outlineLevel="0" collapsed="false">
      <c r="A40" s="27"/>
      <c r="B40" s="28"/>
      <c r="C40" s="28"/>
      <c r="D40" s="27"/>
      <c r="E40" s="29"/>
      <c r="F40" s="30"/>
      <c r="G40" s="31" t="n">
        <f aca="false">IFERROR(E40*F40*12,0)</f>
        <v>0</v>
      </c>
      <c r="H40" s="32"/>
      <c r="I40" s="32"/>
      <c r="J40" s="32"/>
      <c r="K40" s="33" t="n">
        <f aca="true">IFERROR(IF(B40="VACANT",0,(I40-TODAY())/365.25),0)</f>
        <v>-126.203969883641</v>
      </c>
      <c r="L40" s="27"/>
      <c r="M40" s="34"/>
      <c r="N40" s="34"/>
      <c r="O40" s="29"/>
      <c r="P40" s="27"/>
      <c r="Q40" s="35"/>
      <c r="R40" s="28"/>
    </row>
    <row r="41" customFormat="false" ht="15" hidden="false" customHeight="true" outlineLevel="0" collapsed="false">
      <c r="A41" s="36"/>
      <c r="B41" s="37"/>
      <c r="C41" s="37"/>
      <c r="D41" s="36"/>
      <c r="E41" s="38"/>
      <c r="F41" s="39"/>
      <c r="G41" s="31" t="n">
        <f aca="false">IFERROR(E41*F41*12,0)</f>
        <v>0</v>
      </c>
      <c r="H41" s="40"/>
      <c r="I41" s="40"/>
      <c r="J41" s="40"/>
      <c r="K41" s="41" t="n">
        <f aca="true">IFERROR(IF(B41="VACANT",0,(I41-TODAY())/365.25),0)</f>
        <v>-126.203969883641</v>
      </c>
      <c r="L41" s="36"/>
      <c r="M41" s="42"/>
      <c r="N41" s="42"/>
      <c r="O41" s="38"/>
      <c r="P41" s="36"/>
      <c r="Q41" s="43"/>
      <c r="R41" s="37"/>
    </row>
    <row r="42" customFormat="false" ht="15" hidden="false" customHeight="true" outlineLevel="0" collapsed="false">
      <c r="A42" s="27"/>
      <c r="B42" s="28"/>
      <c r="C42" s="28"/>
      <c r="D42" s="27"/>
      <c r="E42" s="29"/>
      <c r="F42" s="30"/>
      <c r="G42" s="31" t="n">
        <f aca="false">IFERROR(E42*F42*12,0)</f>
        <v>0</v>
      </c>
      <c r="H42" s="32"/>
      <c r="I42" s="32"/>
      <c r="J42" s="32"/>
      <c r="K42" s="33" t="n">
        <f aca="true">IFERROR(IF(B42="VACANT",0,(I42-TODAY())/365.25),0)</f>
        <v>-126.203969883641</v>
      </c>
      <c r="L42" s="27"/>
      <c r="M42" s="34"/>
      <c r="N42" s="34"/>
      <c r="O42" s="29"/>
      <c r="P42" s="27"/>
      <c r="Q42" s="35"/>
      <c r="R42" s="28"/>
    </row>
    <row r="43" customFormat="false" ht="15" hidden="false" customHeight="true" outlineLevel="0" collapsed="false">
      <c r="A43" s="36"/>
      <c r="B43" s="37"/>
      <c r="C43" s="37"/>
      <c r="D43" s="36"/>
      <c r="E43" s="38"/>
      <c r="F43" s="39"/>
      <c r="G43" s="31" t="n">
        <f aca="false">IFERROR(E43*F43*12,0)</f>
        <v>0</v>
      </c>
      <c r="H43" s="40"/>
      <c r="I43" s="40"/>
      <c r="J43" s="40"/>
      <c r="K43" s="41" t="n">
        <f aca="true">IFERROR(IF(B43="VACANT",0,(I43-TODAY())/365.25),0)</f>
        <v>-126.203969883641</v>
      </c>
      <c r="L43" s="36"/>
      <c r="M43" s="42"/>
      <c r="N43" s="42"/>
      <c r="O43" s="38"/>
      <c r="P43" s="36"/>
      <c r="Q43" s="43"/>
      <c r="R43" s="37"/>
    </row>
    <row r="44" customFormat="false" ht="15" hidden="false" customHeight="true" outlineLevel="0" collapsed="false">
      <c r="A44" s="27"/>
      <c r="B44" s="28"/>
      <c r="C44" s="28"/>
      <c r="D44" s="27"/>
      <c r="E44" s="29"/>
      <c r="F44" s="30"/>
      <c r="G44" s="31" t="n">
        <f aca="false">IFERROR(E44*F44*12,0)</f>
        <v>0</v>
      </c>
      <c r="H44" s="32"/>
      <c r="I44" s="32"/>
      <c r="J44" s="32"/>
      <c r="K44" s="33" t="n">
        <f aca="true">IFERROR(IF(B44="VACANT",0,(I44-TODAY())/365.25),0)</f>
        <v>-126.203969883641</v>
      </c>
      <c r="L44" s="27"/>
      <c r="M44" s="34"/>
      <c r="N44" s="34"/>
      <c r="O44" s="29"/>
      <c r="P44" s="27"/>
      <c r="Q44" s="35"/>
      <c r="R44" s="28"/>
    </row>
    <row r="45" customFormat="false" ht="15" hidden="false" customHeight="true" outlineLevel="0" collapsed="false">
      <c r="A45" s="36"/>
      <c r="B45" s="37"/>
      <c r="C45" s="37"/>
      <c r="D45" s="36"/>
      <c r="E45" s="38"/>
      <c r="F45" s="39"/>
      <c r="G45" s="31" t="n">
        <f aca="false">IFERROR(E45*F45*12,0)</f>
        <v>0</v>
      </c>
      <c r="H45" s="40"/>
      <c r="I45" s="40"/>
      <c r="J45" s="40"/>
      <c r="K45" s="41" t="n">
        <f aca="true">IFERROR(IF(B45="VACANT",0,(I45-TODAY())/365.25),0)</f>
        <v>-126.203969883641</v>
      </c>
      <c r="L45" s="36"/>
      <c r="M45" s="42"/>
      <c r="N45" s="42"/>
      <c r="O45" s="38"/>
      <c r="P45" s="36"/>
      <c r="Q45" s="43"/>
      <c r="R45" s="37"/>
    </row>
    <row r="46" customFormat="false" ht="15" hidden="false" customHeight="true" outlineLevel="0" collapsed="false">
      <c r="A46" s="27"/>
      <c r="B46" s="28"/>
      <c r="C46" s="28"/>
      <c r="D46" s="27"/>
      <c r="E46" s="29"/>
      <c r="F46" s="30"/>
      <c r="G46" s="31" t="n">
        <f aca="false">IFERROR(E46*F46*12,0)</f>
        <v>0</v>
      </c>
      <c r="H46" s="32"/>
      <c r="I46" s="32"/>
      <c r="J46" s="32"/>
      <c r="K46" s="33" t="n">
        <f aca="true">IFERROR(IF(B46="VACANT",0,(I46-TODAY())/365.25),0)</f>
        <v>-126.203969883641</v>
      </c>
      <c r="L46" s="27"/>
      <c r="M46" s="34"/>
      <c r="N46" s="34"/>
      <c r="O46" s="29"/>
      <c r="P46" s="27"/>
      <c r="Q46" s="35"/>
      <c r="R46" s="28"/>
    </row>
    <row r="47" customFormat="false" ht="15" hidden="false" customHeight="true" outlineLevel="0" collapsed="false">
      <c r="A47" s="36"/>
      <c r="B47" s="37"/>
      <c r="C47" s="37"/>
      <c r="D47" s="36"/>
      <c r="E47" s="38"/>
      <c r="F47" s="39"/>
      <c r="G47" s="31" t="n">
        <f aca="false">IFERROR(E47*F47*12,0)</f>
        <v>0</v>
      </c>
      <c r="H47" s="40"/>
      <c r="I47" s="40"/>
      <c r="J47" s="40"/>
      <c r="K47" s="41" t="n">
        <f aca="true">IFERROR(IF(B47="VACANT",0,(I47-TODAY())/365.25),0)</f>
        <v>-126.203969883641</v>
      </c>
      <c r="L47" s="36"/>
      <c r="M47" s="42"/>
      <c r="N47" s="42"/>
      <c r="O47" s="38"/>
      <c r="P47" s="36"/>
      <c r="Q47" s="43"/>
      <c r="R47" s="37"/>
    </row>
    <row r="48" customFormat="false" ht="15" hidden="false" customHeight="true" outlineLevel="0" collapsed="false">
      <c r="A48" s="27"/>
      <c r="B48" s="28"/>
      <c r="C48" s="28"/>
      <c r="D48" s="27"/>
      <c r="E48" s="29"/>
      <c r="F48" s="30"/>
      <c r="G48" s="31" t="n">
        <f aca="false">IFERROR(E48*F48*12,0)</f>
        <v>0</v>
      </c>
      <c r="H48" s="32"/>
      <c r="I48" s="32"/>
      <c r="J48" s="32"/>
      <c r="K48" s="33" t="n">
        <f aca="true">IFERROR(IF(B48="VACANT",0,(I48-TODAY())/365.25),0)</f>
        <v>-126.203969883641</v>
      </c>
      <c r="L48" s="27"/>
      <c r="M48" s="34"/>
      <c r="N48" s="34"/>
      <c r="O48" s="29"/>
      <c r="P48" s="27"/>
      <c r="Q48" s="35"/>
      <c r="R48" s="28"/>
    </row>
    <row r="49" customFormat="false" ht="15" hidden="false" customHeight="true" outlineLevel="0" collapsed="false">
      <c r="A49" s="36"/>
      <c r="B49" s="37"/>
      <c r="C49" s="37"/>
      <c r="D49" s="36"/>
      <c r="E49" s="38"/>
      <c r="F49" s="39"/>
      <c r="G49" s="31" t="n">
        <f aca="false">IFERROR(E49*F49*12,0)</f>
        <v>0</v>
      </c>
      <c r="H49" s="40"/>
      <c r="I49" s="40"/>
      <c r="J49" s="40"/>
      <c r="K49" s="41" t="n">
        <f aca="true">IFERROR(IF(B49="VACANT",0,(I49-TODAY())/365.25),0)</f>
        <v>-126.203969883641</v>
      </c>
      <c r="L49" s="36"/>
      <c r="M49" s="42"/>
      <c r="N49" s="42"/>
      <c r="O49" s="38"/>
      <c r="P49" s="36"/>
      <c r="Q49" s="43"/>
      <c r="R49" s="37"/>
    </row>
    <row r="50" customFormat="false" ht="15" hidden="false" customHeight="true" outlineLevel="0" collapsed="false">
      <c r="A50" s="27"/>
      <c r="B50" s="28"/>
      <c r="C50" s="28"/>
      <c r="D50" s="27"/>
      <c r="E50" s="29"/>
      <c r="F50" s="30"/>
      <c r="G50" s="31" t="n">
        <f aca="false">IFERROR(E50*F50*12,0)</f>
        <v>0</v>
      </c>
      <c r="H50" s="32"/>
      <c r="I50" s="32"/>
      <c r="J50" s="32"/>
      <c r="K50" s="33" t="n">
        <f aca="true">IFERROR(IF(B50="VACANT",0,(I50-TODAY())/365.25),0)</f>
        <v>-126.203969883641</v>
      </c>
      <c r="L50" s="27"/>
      <c r="M50" s="34"/>
      <c r="N50" s="34"/>
      <c r="O50" s="29"/>
      <c r="P50" s="27"/>
      <c r="Q50" s="35"/>
      <c r="R50" s="28"/>
    </row>
    <row r="51" customFormat="false" ht="15" hidden="false" customHeight="true" outlineLevel="0" collapsed="false">
      <c r="A51" s="36"/>
      <c r="B51" s="37"/>
      <c r="C51" s="37"/>
      <c r="D51" s="36"/>
      <c r="E51" s="38"/>
      <c r="F51" s="39"/>
      <c r="G51" s="31" t="n">
        <f aca="false">IFERROR(E51*F51*12,0)</f>
        <v>0</v>
      </c>
      <c r="H51" s="40"/>
      <c r="I51" s="40"/>
      <c r="J51" s="40"/>
      <c r="K51" s="41" t="n">
        <f aca="true">IFERROR(IF(B51="VACANT",0,(I51-TODAY())/365.25),0)</f>
        <v>-126.203969883641</v>
      </c>
      <c r="L51" s="36"/>
      <c r="M51" s="42"/>
      <c r="N51" s="42"/>
      <c r="O51" s="38"/>
      <c r="P51" s="36"/>
      <c r="Q51" s="43"/>
      <c r="R51" s="37"/>
    </row>
    <row r="52" customFormat="false" ht="15" hidden="false" customHeight="true" outlineLevel="0" collapsed="false">
      <c r="A52" s="27"/>
      <c r="B52" s="28"/>
      <c r="C52" s="28"/>
      <c r="D52" s="27"/>
      <c r="E52" s="29"/>
      <c r="F52" s="30"/>
      <c r="G52" s="31" t="n">
        <f aca="false">IFERROR(E52*F52*12,0)</f>
        <v>0</v>
      </c>
      <c r="H52" s="32"/>
      <c r="I52" s="32"/>
      <c r="J52" s="32"/>
      <c r="K52" s="33" t="n">
        <f aca="true">IFERROR(IF(B52="VACANT",0,(I52-TODAY())/365.25),0)</f>
        <v>-126.203969883641</v>
      </c>
      <c r="L52" s="27"/>
      <c r="M52" s="34"/>
      <c r="N52" s="34"/>
      <c r="O52" s="29"/>
      <c r="P52" s="27"/>
      <c r="Q52" s="35"/>
      <c r="R52" s="28"/>
    </row>
    <row r="53" customFormat="false" ht="15" hidden="false" customHeight="true" outlineLevel="0" collapsed="false">
      <c r="A53" s="36"/>
      <c r="B53" s="37"/>
      <c r="C53" s="37"/>
      <c r="D53" s="36"/>
      <c r="E53" s="38"/>
      <c r="F53" s="39"/>
      <c r="G53" s="31" t="n">
        <f aca="false">IFERROR(E53*F53*12,0)</f>
        <v>0</v>
      </c>
      <c r="H53" s="40"/>
      <c r="I53" s="40"/>
      <c r="J53" s="40"/>
      <c r="K53" s="41" t="n">
        <f aca="true">IFERROR(IF(B53="VACANT",0,(I53-TODAY())/365.25),0)</f>
        <v>-126.203969883641</v>
      </c>
      <c r="L53" s="36"/>
      <c r="M53" s="42"/>
      <c r="N53" s="42"/>
      <c r="O53" s="38"/>
      <c r="P53" s="36"/>
      <c r="Q53" s="43"/>
      <c r="R53" s="37"/>
    </row>
    <row r="54" customFormat="false" ht="15" hidden="false" customHeight="true" outlineLevel="0" collapsed="false">
      <c r="A54" s="27"/>
      <c r="B54" s="28"/>
      <c r="C54" s="28"/>
      <c r="D54" s="27"/>
      <c r="E54" s="29"/>
      <c r="F54" s="30"/>
      <c r="G54" s="31" t="n">
        <f aca="false">IFERROR(E54*F54*12,0)</f>
        <v>0</v>
      </c>
      <c r="H54" s="32"/>
      <c r="I54" s="32"/>
      <c r="J54" s="32"/>
      <c r="K54" s="33" t="n">
        <f aca="true">IFERROR(IF(B54="VACANT",0,(I54-TODAY())/365.25),0)</f>
        <v>-126.203969883641</v>
      </c>
      <c r="L54" s="27"/>
      <c r="M54" s="34"/>
      <c r="N54" s="34"/>
      <c r="O54" s="29"/>
      <c r="P54" s="27"/>
      <c r="Q54" s="35"/>
      <c r="R54" s="28"/>
    </row>
    <row r="55" customFormat="false" ht="15" hidden="false" customHeight="true" outlineLevel="0" collapsed="false">
      <c r="A55" s="36"/>
      <c r="B55" s="37"/>
      <c r="C55" s="37"/>
      <c r="D55" s="36"/>
      <c r="E55" s="38"/>
      <c r="F55" s="39"/>
      <c r="G55" s="31" t="n">
        <f aca="false">IFERROR(E55*F55*12,0)</f>
        <v>0</v>
      </c>
      <c r="H55" s="40"/>
      <c r="I55" s="40"/>
      <c r="J55" s="40"/>
      <c r="K55" s="41" t="n">
        <f aca="true">IFERROR(IF(B55="VACANT",0,(I55-TODAY())/365.25),0)</f>
        <v>-126.203969883641</v>
      </c>
      <c r="L55" s="36"/>
      <c r="M55" s="42"/>
      <c r="N55" s="42"/>
      <c r="O55" s="38"/>
      <c r="P55" s="36"/>
      <c r="Q55" s="43"/>
      <c r="R55" s="37"/>
    </row>
    <row r="56" customFormat="false" ht="15" hidden="false" customHeight="true" outlineLevel="0" collapsed="false">
      <c r="A56" s="27"/>
      <c r="B56" s="28"/>
      <c r="C56" s="28"/>
      <c r="D56" s="27"/>
      <c r="E56" s="29"/>
      <c r="F56" s="30"/>
      <c r="G56" s="31" t="n">
        <f aca="false">IFERROR(E56*F56*12,0)</f>
        <v>0</v>
      </c>
      <c r="H56" s="32"/>
      <c r="I56" s="32"/>
      <c r="J56" s="32"/>
      <c r="K56" s="33" t="n">
        <f aca="true">IFERROR(IF(B56="VACANT",0,(I56-TODAY())/365.25),0)</f>
        <v>-126.203969883641</v>
      </c>
      <c r="L56" s="27"/>
      <c r="M56" s="34"/>
      <c r="N56" s="34"/>
      <c r="O56" s="29"/>
      <c r="P56" s="27"/>
      <c r="Q56" s="35"/>
      <c r="R56" s="28"/>
    </row>
    <row r="57" customFormat="false" ht="15" hidden="false" customHeight="true" outlineLevel="0" collapsed="false">
      <c r="A57" s="36"/>
      <c r="B57" s="37"/>
      <c r="C57" s="37"/>
      <c r="D57" s="36"/>
      <c r="E57" s="38"/>
      <c r="F57" s="39"/>
      <c r="G57" s="31" t="n">
        <f aca="false">IFERROR(E57*F57*12,0)</f>
        <v>0</v>
      </c>
      <c r="H57" s="40"/>
      <c r="I57" s="40"/>
      <c r="J57" s="40"/>
      <c r="K57" s="41" t="n">
        <f aca="true">IFERROR(IF(B57="VACANT",0,(I57-TODAY())/365.25),0)</f>
        <v>-126.203969883641</v>
      </c>
      <c r="L57" s="36"/>
      <c r="M57" s="42"/>
      <c r="N57" s="42"/>
      <c r="O57" s="38"/>
      <c r="P57" s="36"/>
      <c r="Q57" s="43"/>
      <c r="R57" s="37"/>
    </row>
    <row r="58" customFormat="false" ht="15" hidden="false" customHeight="true" outlineLevel="0" collapsed="false">
      <c r="A58" s="27"/>
      <c r="B58" s="28"/>
      <c r="C58" s="28"/>
      <c r="D58" s="27"/>
      <c r="E58" s="29"/>
      <c r="F58" s="30"/>
      <c r="G58" s="31" t="n">
        <f aca="false">IFERROR(E58*F58*12,0)</f>
        <v>0</v>
      </c>
      <c r="H58" s="32"/>
      <c r="I58" s="32"/>
      <c r="J58" s="32"/>
      <c r="K58" s="33" t="n">
        <f aca="true">IFERROR(IF(B58="VACANT",0,(I58-TODAY())/365.25),0)</f>
        <v>-126.203969883641</v>
      </c>
      <c r="L58" s="27"/>
      <c r="M58" s="34"/>
      <c r="N58" s="34"/>
      <c r="O58" s="29"/>
      <c r="P58" s="27"/>
      <c r="Q58" s="35"/>
      <c r="R58" s="28"/>
    </row>
    <row r="59" customFormat="false" ht="15" hidden="false" customHeight="true" outlineLevel="0" collapsed="false">
      <c r="A59" s="36"/>
      <c r="B59" s="37"/>
      <c r="C59" s="37"/>
      <c r="D59" s="36"/>
      <c r="E59" s="38"/>
      <c r="F59" s="39"/>
      <c r="G59" s="31" t="n">
        <f aca="false">IFERROR(E59*F59*12,0)</f>
        <v>0</v>
      </c>
      <c r="H59" s="40"/>
      <c r="I59" s="40"/>
      <c r="J59" s="40"/>
      <c r="K59" s="41" t="n">
        <f aca="true">IFERROR(IF(B59="VACANT",0,(I59-TODAY())/365.25),0)</f>
        <v>-126.203969883641</v>
      </c>
      <c r="L59" s="36"/>
      <c r="M59" s="42"/>
      <c r="N59" s="42"/>
      <c r="O59" s="38"/>
      <c r="P59" s="36"/>
      <c r="Q59" s="43"/>
      <c r="R59" s="37"/>
    </row>
    <row r="60" customFormat="false" ht="15" hidden="false" customHeight="true" outlineLevel="0" collapsed="false">
      <c r="A60" s="27"/>
      <c r="B60" s="28"/>
      <c r="C60" s="28"/>
      <c r="D60" s="27"/>
      <c r="E60" s="29"/>
      <c r="F60" s="30"/>
      <c r="G60" s="31" t="n">
        <f aca="false">IFERROR(E60*F60*12,0)</f>
        <v>0</v>
      </c>
      <c r="H60" s="32"/>
      <c r="I60" s="32"/>
      <c r="J60" s="32"/>
      <c r="K60" s="33" t="n">
        <f aca="true">IFERROR(IF(B60="VACANT",0,(I60-TODAY())/365.25),0)</f>
        <v>-126.203969883641</v>
      </c>
      <c r="L60" s="27"/>
      <c r="M60" s="34"/>
      <c r="N60" s="34"/>
      <c r="O60" s="29"/>
      <c r="P60" s="27"/>
      <c r="Q60" s="35"/>
      <c r="R60" s="28"/>
    </row>
    <row r="61" customFormat="false" ht="15" hidden="false" customHeight="true" outlineLevel="0" collapsed="false">
      <c r="A61" s="36"/>
      <c r="B61" s="37"/>
      <c r="C61" s="37"/>
      <c r="D61" s="36"/>
      <c r="E61" s="38"/>
      <c r="F61" s="39"/>
      <c r="G61" s="31" t="n">
        <f aca="false">IFERROR(E61*F61*12,0)</f>
        <v>0</v>
      </c>
      <c r="H61" s="40"/>
      <c r="I61" s="40"/>
      <c r="J61" s="40"/>
      <c r="K61" s="41" t="n">
        <f aca="true">IFERROR(IF(B61="VACANT",0,(I61-TODAY())/365.25),0)</f>
        <v>-126.203969883641</v>
      </c>
      <c r="L61" s="36"/>
      <c r="M61" s="42"/>
      <c r="N61" s="42"/>
      <c r="O61" s="38"/>
      <c r="P61" s="36"/>
      <c r="Q61" s="43"/>
      <c r="R61" s="37"/>
    </row>
    <row r="62" customFormat="false" ht="15" hidden="false" customHeight="true" outlineLevel="0" collapsed="false">
      <c r="A62" s="27"/>
      <c r="B62" s="28"/>
      <c r="C62" s="28"/>
      <c r="D62" s="27"/>
      <c r="E62" s="29"/>
      <c r="F62" s="30"/>
      <c r="G62" s="31" t="n">
        <f aca="false">IFERROR(E62*F62*12,0)</f>
        <v>0</v>
      </c>
      <c r="H62" s="32"/>
      <c r="I62" s="32"/>
      <c r="J62" s="32"/>
      <c r="K62" s="33" t="n">
        <f aca="true">IFERROR(IF(B62="VACANT",0,(I62-TODAY())/365.25),0)</f>
        <v>-126.203969883641</v>
      </c>
      <c r="L62" s="27"/>
      <c r="M62" s="34"/>
      <c r="N62" s="34"/>
      <c r="O62" s="29"/>
      <c r="P62" s="27"/>
      <c r="Q62" s="35"/>
      <c r="R62" s="28"/>
    </row>
    <row r="63" customFormat="false" ht="15" hidden="false" customHeight="true" outlineLevel="0" collapsed="false">
      <c r="A63" s="36"/>
      <c r="B63" s="37"/>
      <c r="C63" s="37"/>
      <c r="D63" s="36"/>
      <c r="E63" s="38"/>
      <c r="F63" s="39"/>
      <c r="G63" s="31" t="n">
        <f aca="false">IFERROR(E63*F63*12,0)</f>
        <v>0</v>
      </c>
      <c r="H63" s="40"/>
      <c r="I63" s="40"/>
      <c r="J63" s="40"/>
      <c r="K63" s="41" t="n">
        <f aca="true">IFERROR(IF(B63="VACANT",0,(I63-TODAY())/365.25),0)</f>
        <v>-126.203969883641</v>
      </c>
      <c r="L63" s="36"/>
      <c r="M63" s="42"/>
      <c r="N63" s="42"/>
      <c r="O63" s="38"/>
      <c r="P63" s="36"/>
      <c r="Q63" s="43"/>
      <c r="R63" s="37"/>
    </row>
    <row r="64" customFormat="false" ht="15" hidden="false" customHeight="true" outlineLevel="0" collapsed="false">
      <c r="A64" s="27"/>
      <c r="B64" s="28"/>
      <c r="C64" s="28"/>
      <c r="D64" s="27"/>
      <c r="E64" s="29"/>
      <c r="F64" s="30"/>
      <c r="G64" s="31" t="n">
        <f aca="false">IFERROR(E64*F64*12,0)</f>
        <v>0</v>
      </c>
      <c r="H64" s="32"/>
      <c r="I64" s="32"/>
      <c r="J64" s="32"/>
      <c r="K64" s="33" t="n">
        <f aca="true">IFERROR(IF(B64="VACANT",0,(I64-TODAY())/365.25),0)</f>
        <v>-126.203969883641</v>
      </c>
      <c r="L64" s="27"/>
      <c r="M64" s="34"/>
      <c r="N64" s="34"/>
      <c r="O64" s="29"/>
      <c r="P64" s="27"/>
      <c r="Q64" s="35"/>
      <c r="R64" s="28"/>
    </row>
    <row r="65" customFormat="false" ht="15" hidden="false" customHeight="true" outlineLevel="0" collapsed="false">
      <c r="A65" s="36"/>
      <c r="B65" s="37"/>
      <c r="C65" s="37"/>
      <c r="D65" s="36"/>
      <c r="E65" s="38"/>
      <c r="F65" s="39"/>
      <c r="G65" s="31" t="n">
        <f aca="false">IFERROR(E65*F65*12,0)</f>
        <v>0</v>
      </c>
      <c r="H65" s="40"/>
      <c r="I65" s="40"/>
      <c r="J65" s="40"/>
      <c r="K65" s="41" t="n">
        <f aca="true">IFERROR(IF(B65="VACANT",0,(I65-TODAY())/365.25),0)</f>
        <v>-126.203969883641</v>
      </c>
      <c r="L65" s="36"/>
      <c r="M65" s="42"/>
      <c r="N65" s="42"/>
      <c r="O65" s="38"/>
      <c r="P65" s="36"/>
      <c r="Q65" s="43"/>
      <c r="R65" s="37"/>
    </row>
    <row r="66" customFormat="false" ht="15" hidden="false" customHeight="true" outlineLevel="0" collapsed="false">
      <c r="A66" s="27"/>
      <c r="B66" s="28"/>
      <c r="C66" s="28"/>
      <c r="D66" s="27"/>
      <c r="E66" s="29"/>
      <c r="F66" s="30"/>
      <c r="G66" s="31" t="n">
        <f aca="false">IFERROR(E66*F66*12,0)</f>
        <v>0</v>
      </c>
      <c r="H66" s="32"/>
      <c r="I66" s="32"/>
      <c r="J66" s="32"/>
      <c r="K66" s="33" t="n">
        <f aca="true">IFERROR(IF(B66="VACANT",0,(I66-TODAY())/365.25),0)</f>
        <v>-126.203969883641</v>
      </c>
      <c r="L66" s="27"/>
      <c r="M66" s="34"/>
      <c r="N66" s="34"/>
      <c r="O66" s="29"/>
      <c r="P66" s="27"/>
      <c r="Q66" s="35"/>
      <c r="R66" s="28"/>
    </row>
    <row r="67" customFormat="false" ht="15" hidden="false" customHeight="true" outlineLevel="0" collapsed="false">
      <c r="A67" s="36"/>
      <c r="B67" s="37"/>
      <c r="C67" s="37"/>
      <c r="D67" s="36"/>
      <c r="E67" s="38"/>
      <c r="F67" s="39"/>
      <c r="G67" s="31" t="n">
        <f aca="false">IFERROR(E67*F67*12,0)</f>
        <v>0</v>
      </c>
      <c r="H67" s="40"/>
      <c r="I67" s="40"/>
      <c r="J67" s="40"/>
      <c r="K67" s="41" t="n">
        <f aca="true">IFERROR(IF(B67="VACANT",0,(I67-TODAY())/365.25),0)</f>
        <v>-126.203969883641</v>
      </c>
      <c r="L67" s="36"/>
      <c r="M67" s="42"/>
      <c r="N67" s="42"/>
      <c r="O67" s="38"/>
      <c r="P67" s="36"/>
      <c r="Q67" s="43"/>
      <c r="R67" s="37"/>
    </row>
    <row r="68" customFormat="false" ht="15" hidden="false" customHeight="true" outlineLevel="0" collapsed="false">
      <c r="A68" s="27"/>
      <c r="B68" s="28"/>
      <c r="C68" s="28"/>
      <c r="D68" s="27"/>
      <c r="E68" s="29"/>
      <c r="F68" s="30"/>
      <c r="G68" s="31" t="n">
        <f aca="false">IFERROR(E68*F68*12,0)</f>
        <v>0</v>
      </c>
      <c r="H68" s="32"/>
      <c r="I68" s="32"/>
      <c r="J68" s="32"/>
      <c r="K68" s="33" t="n">
        <f aca="true">IFERROR(IF(B68="VACANT",0,(I68-TODAY())/365.25),0)</f>
        <v>-126.203969883641</v>
      </c>
      <c r="L68" s="27"/>
      <c r="M68" s="34"/>
      <c r="N68" s="34"/>
      <c r="O68" s="29"/>
      <c r="P68" s="27"/>
      <c r="Q68" s="35"/>
      <c r="R68" s="28"/>
    </row>
    <row r="69" customFormat="false" ht="15" hidden="false" customHeight="true" outlineLevel="0" collapsed="false">
      <c r="A69" s="36"/>
      <c r="B69" s="37"/>
      <c r="C69" s="37"/>
      <c r="D69" s="36"/>
      <c r="E69" s="38"/>
      <c r="F69" s="39"/>
      <c r="G69" s="31" t="n">
        <f aca="false">IFERROR(E69*F69*12,0)</f>
        <v>0</v>
      </c>
      <c r="H69" s="40"/>
      <c r="I69" s="40"/>
      <c r="J69" s="40"/>
      <c r="K69" s="41" t="n">
        <f aca="true">IFERROR(IF(B69="VACANT",0,(I69-TODAY())/365.25),0)</f>
        <v>-126.203969883641</v>
      </c>
      <c r="L69" s="36"/>
      <c r="M69" s="42"/>
      <c r="N69" s="42"/>
      <c r="O69" s="38"/>
      <c r="P69" s="36"/>
      <c r="Q69" s="43"/>
      <c r="R69" s="37"/>
    </row>
    <row r="70" customFormat="false" ht="15" hidden="false" customHeight="true" outlineLevel="0" collapsed="false">
      <c r="A70" s="27"/>
      <c r="B70" s="28"/>
      <c r="C70" s="28"/>
      <c r="D70" s="27"/>
      <c r="E70" s="29"/>
      <c r="F70" s="30"/>
      <c r="G70" s="31" t="n">
        <f aca="false">IFERROR(E70*F70*12,0)</f>
        <v>0</v>
      </c>
      <c r="H70" s="32"/>
      <c r="I70" s="32"/>
      <c r="J70" s="32"/>
      <c r="K70" s="33" t="n">
        <f aca="true">IFERROR(IF(B70="VACANT",0,(I70-TODAY())/365.25),0)</f>
        <v>-126.203969883641</v>
      </c>
      <c r="L70" s="27"/>
      <c r="M70" s="34"/>
      <c r="N70" s="34"/>
      <c r="O70" s="29"/>
      <c r="P70" s="27"/>
      <c r="Q70" s="35"/>
      <c r="R70" s="28"/>
    </row>
    <row r="71" customFormat="false" ht="15" hidden="false" customHeight="true" outlineLevel="0" collapsed="false">
      <c r="A71" s="36"/>
      <c r="B71" s="37"/>
      <c r="C71" s="37"/>
      <c r="D71" s="36"/>
      <c r="E71" s="38"/>
      <c r="F71" s="39"/>
      <c r="G71" s="31" t="n">
        <f aca="false">IFERROR(E71*F71*12,0)</f>
        <v>0</v>
      </c>
      <c r="H71" s="40"/>
      <c r="I71" s="40"/>
      <c r="J71" s="40"/>
      <c r="K71" s="41" t="n">
        <f aca="true">IFERROR(IF(B71="VACANT",0,(I71-TODAY())/365.25),0)</f>
        <v>-126.203969883641</v>
      </c>
      <c r="L71" s="36"/>
      <c r="M71" s="42"/>
      <c r="N71" s="42"/>
      <c r="O71" s="38"/>
      <c r="P71" s="36"/>
      <c r="Q71" s="43"/>
      <c r="R71" s="37"/>
    </row>
    <row r="72" customFormat="false" ht="15" hidden="false" customHeight="true" outlineLevel="0" collapsed="false">
      <c r="A72" s="27"/>
      <c r="B72" s="28"/>
      <c r="C72" s="28"/>
      <c r="D72" s="27"/>
      <c r="E72" s="29"/>
      <c r="F72" s="30"/>
      <c r="G72" s="31" t="n">
        <f aca="false">IFERROR(E72*F72*12,0)</f>
        <v>0</v>
      </c>
      <c r="H72" s="32"/>
      <c r="I72" s="32"/>
      <c r="J72" s="32"/>
      <c r="K72" s="33" t="n">
        <f aca="true">IFERROR(IF(B72="VACANT",0,(I72-TODAY())/365.25),0)</f>
        <v>-126.203969883641</v>
      </c>
      <c r="L72" s="27"/>
      <c r="M72" s="34"/>
      <c r="N72" s="34"/>
      <c r="O72" s="29"/>
      <c r="P72" s="27"/>
      <c r="Q72" s="35"/>
      <c r="R72" s="28"/>
    </row>
    <row r="73" customFormat="false" ht="15" hidden="false" customHeight="true" outlineLevel="0" collapsed="false">
      <c r="A73" s="36"/>
      <c r="B73" s="37"/>
      <c r="C73" s="37"/>
      <c r="D73" s="36"/>
      <c r="E73" s="38"/>
      <c r="F73" s="39"/>
      <c r="G73" s="31" t="n">
        <f aca="false">IFERROR(E73*F73*12,0)</f>
        <v>0</v>
      </c>
      <c r="H73" s="40"/>
      <c r="I73" s="40"/>
      <c r="J73" s="40"/>
      <c r="K73" s="41" t="n">
        <f aca="true">IFERROR(IF(B73="VACANT",0,(I73-TODAY())/365.25),0)</f>
        <v>-126.203969883641</v>
      </c>
      <c r="L73" s="36"/>
      <c r="M73" s="42"/>
      <c r="N73" s="42"/>
      <c r="O73" s="38"/>
      <c r="P73" s="36"/>
      <c r="Q73" s="43"/>
      <c r="R73" s="37"/>
    </row>
    <row r="74" customFormat="false" ht="15" hidden="false" customHeight="true" outlineLevel="0" collapsed="false">
      <c r="A74" s="27"/>
      <c r="B74" s="28"/>
      <c r="C74" s="28"/>
      <c r="D74" s="27"/>
      <c r="E74" s="29"/>
      <c r="F74" s="30"/>
      <c r="G74" s="31" t="n">
        <f aca="false">IFERROR(E74*F74*12,0)</f>
        <v>0</v>
      </c>
      <c r="H74" s="32"/>
      <c r="I74" s="32"/>
      <c r="J74" s="32"/>
      <c r="K74" s="33" t="n">
        <f aca="true">IFERROR(IF(B74="VACANT",0,(I74-TODAY())/365.25),0)</f>
        <v>-126.203969883641</v>
      </c>
      <c r="L74" s="27"/>
      <c r="M74" s="34"/>
      <c r="N74" s="34"/>
      <c r="O74" s="29"/>
      <c r="P74" s="27"/>
      <c r="Q74" s="35"/>
      <c r="R74" s="28"/>
    </row>
    <row r="75" customFormat="false" ht="15" hidden="false" customHeight="true" outlineLevel="0" collapsed="false">
      <c r="A75" s="36"/>
      <c r="B75" s="37"/>
      <c r="C75" s="37"/>
      <c r="D75" s="36"/>
      <c r="E75" s="38"/>
      <c r="F75" s="39"/>
      <c r="G75" s="31" t="n">
        <f aca="false">IFERROR(E75*F75*12,0)</f>
        <v>0</v>
      </c>
      <c r="H75" s="40"/>
      <c r="I75" s="40"/>
      <c r="J75" s="40"/>
      <c r="K75" s="41" t="n">
        <f aca="true">IFERROR(IF(B75="VACANT",0,(I75-TODAY())/365.25),0)</f>
        <v>-126.203969883641</v>
      </c>
      <c r="L75" s="36"/>
      <c r="M75" s="42"/>
      <c r="N75" s="42"/>
      <c r="O75" s="38"/>
      <c r="P75" s="36"/>
      <c r="Q75" s="43"/>
      <c r="R75" s="37"/>
    </row>
    <row r="76" customFormat="false" ht="15" hidden="false" customHeight="true" outlineLevel="0" collapsed="false">
      <c r="A76" s="27"/>
      <c r="B76" s="28"/>
      <c r="C76" s="28"/>
      <c r="D76" s="27"/>
      <c r="E76" s="29"/>
      <c r="F76" s="30"/>
      <c r="G76" s="31" t="n">
        <f aca="false">IFERROR(E76*F76*12,0)</f>
        <v>0</v>
      </c>
      <c r="H76" s="32"/>
      <c r="I76" s="32"/>
      <c r="J76" s="32"/>
      <c r="K76" s="33" t="n">
        <f aca="true">IFERROR(IF(B76="VACANT",0,(I76-TODAY())/365.25),0)</f>
        <v>-126.203969883641</v>
      </c>
      <c r="L76" s="27"/>
      <c r="M76" s="34"/>
      <c r="N76" s="34"/>
      <c r="O76" s="29"/>
      <c r="P76" s="27"/>
      <c r="Q76" s="35"/>
      <c r="R76" s="28"/>
    </row>
    <row r="77" customFormat="false" ht="15" hidden="false" customHeight="true" outlineLevel="0" collapsed="false">
      <c r="A77" s="36"/>
      <c r="B77" s="37"/>
      <c r="C77" s="37"/>
      <c r="D77" s="36"/>
      <c r="E77" s="38"/>
      <c r="F77" s="39"/>
      <c r="G77" s="31" t="n">
        <f aca="false">IFERROR(E77*F77*12,0)</f>
        <v>0</v>
      </c>
      <c r="H77" s="40"/>
      <c r="I77" s="40"/>
      <c r="J77" s="40"/>
      <c r="K77" s="41" t="n">
        <f aca="true">IFERROR(IF(B77="VACANT",0,(I77-TODAY())/365.25),0)</f>
        <v>-126.203969883641</v>
      </c>
      <c r="L77" s="36"/>
      <c r="M77" s="42"/>
      <c r="N77" s="42"/>
      <c r="O77" s="38"/>
      <c r="P77" s="36"/>
      <c r="Q77" s="43"/>
      <c r="R77" s="37"/>
    </row>
    <row r="78" customFormat="false" ht="15" hidden="false" customHeight="true" outlineLevel="0" collapsed="false">
      <c r="A78" s="27"/>
      <c r="B78" s="28"/>
      <c r="C78" s="28"/>
      <c r="D78" s="27"/>
      <c r="E78" s="29"/>
      <c r="F78" s="30"/>
      <c r="G78" s="31" t="n">
        <f aca="false">IFERROR(E78*F78*12,0)</f>
        <v>0</v>
      </c>
      <c r="H78" s="32"/>
      <c r="I78" s="32"/>
      <c r="J78" s="32"/>
      <c r="K78" s="33" t="n">
        <f aca="true">IFERROR(IF(B78="VACANT",0,(I78-TODAY())/365.25),0)</f>
        <v>-126.203969883641</v>
      </c>
      <c r="L78" s="27"/>
      <c r="M78" s="34"/>
      <c r="N78" s="34"/>
      <c r="O78" s="29"/>
      <c r="P78" s="27"/>
      <c r="Q78" s="35"/>
      <c r="R78" s="28"/>
    </row>
    <row r="79" customFormat="false" ht="15" hidden="false" customHeight="true" outlineLevel="0" collapsed="false">
      <c r="A79" s="36"/>
      <c r="B79" s="37"/>
      <c r="C79" s="37"/>
      <c r="D79" s="36"/>
      <c r="E79" s="38"/>
      <c r="F79" s="39"/>
      <c r="G79" s="31" t="n">
        <f aca="false">IFERROR(E79*F79*12,0)</f>
        <v>0</v>
      </c>
      <c r="H79" s="40"/>
      <c r="I79" s="40"/>
      <c r="J79" s="40"/>
      <c r="K79" s="41" t="n">
        <f aca="true">IFERROR(IF(B79="VACANT",0,(I79-TODAY())/365.25),0)</f>
        <v>-126.203969883641</v>
      </c>
      <c r="L79" s="36"/>
      <c r="M79" s="42"/>
      <c r="N79" s="42"/>
      <c r="O79" s="38"/>
      <c r="P79" s="36"/>
      <c r="Q79" s="43"/>
      <c r="R79" s="37"/>
    </row>
    <row r="80" customFormat="false" ht="15" hidden="false" customHeight="true" outlineLevel="0" collapsed="false">
      <c r="A80" s="27"/>
      <c r="B80" s="28"/>
      <c r="C80" s="28"/>
      <c r="D80" s="27"/>
      <c r="E80" s="29"/>
      <c r="F80" s="30"/>
      <c r="G80" s="31" t="n">
        <f aca="false">IFERROR(E80*F80*12,0)</f>
        <v>0</v>
      </c>
      <c r="H80" s="32"/>
      <c r="I80" s="32"/>
      <c r="J80" s="32"/>
      <c r="K80" s="33" t="n">
        <f aca="true">IFERROR(IF(B80="VACANT",0,(I80-TODAY())/365.25),0)</f>
        <v>-126.203969883641</v>
      </c>
      <c r="L80" s="27"/>
      <c r="M80" s="34"/>
      <c r="N80" s="34"/>
      <c r="O80" s="29"/>
      <c r="P80" s="27"/>
      <c r="Q80" s="35"/>
      <c r="R80" s="28"/>
    </row>
    <row r="81" customFormat="false" ht="15" hidden="false" customHeight="true" outlineLevel="0" collapsed="false">
      <c r="A81" s="36"/>
      <c r="B81" s="37"/>
      <c r="C81" s="37"/>
      <c r="D81" s="36"/>
      <c r="E81" s="38"/>
      <c r="F81" s="39"/>
      <c r="G81" s="31" t="n">
        <f aca="false">IFERROR(E81*F81*12,0)</f>
        <v>0</v>
      </c>
      <c r="H81" s="40"/>
      <c r="I81" s="40"/>
      <c r="J81" s="40"/>
      <c r="K81" s="41" t="n">
        <f aca="true">IFERROR(IF(B81="VACANT",0,(I81-TODAY())/365.25),0)</f>
        <v>-126.203969883641</v>
      </c>
      <c r="L81" s="36"/>
      <c r="M81" s="42"/>
      <c r="N81" s="42"/>
      <c r="O81" s="38"/>
      <c r="P81" s="36"/>
      <c r="Q81" s="43"/>
      <c r="R81" s="37"/>
    </row>
    <row r="82" customFormat="false" ht="15" hidden="false" customHeight="true" outlineLevel="0" collapsed="false">
      <c r="A82" s="27"/>
      <c r="B82" s="28"/>
      <c r="C82" s="28"/>
      <c r="D82" s="27"/>
      <c r="E82" s="29"/>
      <c r="F82" s="30"/>
      <c r="G82" s="31" t="n">
        <f aca="false">IFERROR(E82*F82*12,0)</f>
        <v>0</v>
      </c>
      <c r="H82" s="32"/>
      <c r="I82" s="32"/>
      <c r="J82" s="32"/>
      <c r="K82" s="33" t="n">
        <f aca="true">IFERROR(IF(B82="VACANT",0,(I82-TODAY())/365.25),0)</f>
        <v>-126.203969883641</v>
      </c>
      <c r="L82" s="27"/>
      <c r="M82" s="34"/>
      <c r="N82" s="34"/>
      <c r="O82" s="29"/>
      <c r="P82" s="27"/>
      <c r="Q82" s="35"/>
      <c r="R82" s="28"/>
    </row>
    <row r="83" customFormat="false" ht="15" hidden="false" customHeight="true" outlineLevel="0" collapsed="false">
      <c r="A83" s="36"/>
      <c r="B83" s="37"/>
      <c r="C83" s="37"/>
      <c r="D83" s="36"/>
      <c r="E83" s="38"/>
      <c r="F83" s="39"/>
      <c r="G83" s="31" t="n">
        <f aca="false">IFERROR(E83*F83*12,0)</f>
        <v>0</v>
      </c>
      <c r="H83" s="40"/>
      <c r="I83" s="40"/>
      <c r="J83" s="40"/>
      <c r="K83" s="41" t="n">
        <f aca="true">IFERROR(IF(B83="VACANT",0,(I83-TODAY())/365.25),0)</f>
        <v>-126.203969883641</v>
      </c>
      <c r="L83" s="36"/>
      <c r="M83" s="42"/>
      <c r="N83" s="42"/>
      <c r="O83" s="38"/>
      <c r="P83" s="36"/>
      <c r="Q83" s="43"/>
      <c r="R83" s="37"/>
    </row>
    <row r="84" customFormat="false" ht="15" hidden="false" customHeight="true" outlineLevel="0" collapsed="false">
      <c r="A84" s="27"/>
      <c r="B84" s="28"/>
      <c r="C84" s="28"/>
      <c r="D84" s="27"/>
      <c r="E84" s="29"/>
      <c r="F84" s="30"/>
      <c r="G84" s="31" t="n">
        <f aca="false">IFERROR(E84*F84*12,0)</f>
        <v>0</v>
      </c>
      <c r="H84" s="32"/>
      <c r="I84" s="32"/>
      <c r="J84" s="32"/>
      <c r="K84" s="33" t="n">
        <f aca="true">IFERROR(IF(B84="VACANT",0,(I84-TODAY())/365.25),0)</f>
        <v>-126.203969883641</v>
      </c>
      <c r="L84" s="27"/>
      <c r="M84" s="34"/>
      <c r="N84" s="34"/>
      <c r="O84" s="29"/>
      <c r="P84" s="27"/>
      <c r="Q84" s="35"/>
      <c r="R84" s="28"/>
    </row>
    <row r="85" customFormat="false" ht="15" hidden="false" customHeight="true" outlineLevel="0" collapsed="false">
      <c r="A85" s="36"/>
      <c r="B85" s="37"/>
      <c r="C85" s="37"/>
      <c r="D85" s="36"/>
      <c r="E85" s="38"/>
      <c r="F85" s="39"/>
      <c r="G85" s="31" t="n">
        <f aca="false">IFERROR(E85*F85*12,0)</f>
        <v>0</v>
      </c>
      <c r="H85" s="40"/>
      <c r="I85" s="40"/>
      <c r="J85" s="40"/>
      <c r="K85" s="41" t="n">
        <f aca="true">IFERROR(IF(B85="VACANT",0,(I85-TODAY())/365.25),0)</f>
        <v>-126.203969883641</v>
      </c>
      <c r="L85" s="36"/>
      <c r="M85" s="42"/>
      <c r="N85" s="42"/>
      <c r="O85" s="38"/>
      <c r="P85" s="36"/>
      <c r="Q85" s="43"/>
      <c r="R85" s="37"/>
    </row>
    <row r="86" customFormat="false" ht="15" hidden="false" customHeight="true" outlineLevel="0" collapsed="false">
      <c r="A86" s="27"/>
      <c r="B86" s="28"/>
      <c r="C86" s="28"/>
      <c r="D86" s="27"/>
      <c r="E86" s="29"/>
      <c r="F86" s="30"/>
      <c r="G86" s="31" t="n">
        <f aca="false">IFERROR(E86*F86*12,0)</f>
        <v>0</v>
      </c>
      <c r="H86" s="32"/>
      <c r="I86" s="32"/>
      <c r="J86" s="32"/>
      <c r="K86" s="33" t="n">
        <f aca="true">IFERROR(IF(B86="VACANT",0,(I86-TODAY())/365.25),0)</f>
        <v>-126.203969883641</v>
      </c>
      <c r="L86" s="27"/>
      <c r="M86" s="34"/>
      <c r="N86" s="34"/>
      <c r="O86" s="29"/>
      <c r="P86" s="27"/>
      <c r="Q86" s="35"/>
      <c r="R86" s="28"/>
    </row>
    <row r="87" customFormat="false" ht="15" hidden="false" customHeight="true" outlineLevel="0" collapsed="false">
      <c r="A87" s="36"/>
      <c r="B87" s="37"/>
      <c r="C87" s="37"/>
      <c r="D87" s="36"/>
      <c r="E87" s="38"/>
      <c r="F87" s="39"/>
      <c r="G87" s="31" t="n">
        <f aca="false">IFERROR(E87*F87*12,0)</f>
        <v>0</v>
      </c>
      <c r="H87" s="40"/>
      <c r="I87" s="40"/>
      <c r="J87" s="40"/>
      <c r="K87" s="41" t="n">
        <f aca="true">IFERROR(IF(B87="VACANT",0,(I87-TODAY())/365.25),0)</f>
        <v>-126.203969883641</v>
      </c>
      <c r="L87" s="36"/>
      <c r="M87" s="42"/>
      <c r="N87" s="42"/>
      <c r="O87" s="38"/>
      <c r="P87" s="36"/>
      <c r="Q87" s="43"/>
      <c r="R87" s="37"/>
    </row>
    <row r="88" customFormat="false" ht="15" hidden="false" customHeight="true" outlineLevel="0" collapsed="false">
      <c r="A88" s="27"/>
      <c r="B88" s="28"/>
      <c r="C88" s="28"/>
      <c r="D88" s="27"/>
      <c r="E88" s="29"/>
      <c r="F88" s="30"/>
      <c r="G88" s="31" t="n">
        <f aca="false">IFERROR(E88*F88*12,0)</f>
        <v>0</v>
      </c>
      <c r="H88" s="32"/>
      <c r="I88" s="32"/>
      <c r="J88" s="32"/>
      <c r="K88" s="33" t="n">
        <f aca="true">IFERROR(IF(B88="VACANT",0,(I88-TODAY())/365.25),0)</f>
        <v>-126.203969883641</v>
      </c>
      <c r="L88" s="27"/>
      <c r="M88" s="34"/>
      <c r="N88" s="34"/>
      <c r="O88" s="29"/>
      <c r="P88" s="27"/>
      <c r="Q88" s="35"/>
      <c r="R88" s="28"/>
    </row>
    <row r="89" customFormat="false" ht="15" hidden="false" customHeight="true" outlineLevel="0" collapsed="false">
      <c r="A89" s="36"/>
      <c r="B89" s="37"/>
      <c r="C89" s="37"/>
      <c r="D89" s="36"/>
      <c r="E89" s="38"/>
      <c r="F89" s="39"/>
      <c r="G89" s="31" t="n">
        <f aca="false">IFERROR(E89*F89*12,0)</f>
        <v>0</v>
      </c>
      <c r="H89" s="40"/>
      <c r="I89" s="40"/>
      <c r="J89" s="40"/>
      <c r="K89" s="41" t="n">
        <f aca="true">IFERROR(IF(B89="VACANT",0,(I89-TODAY())/365.25),0)</f>
        <v>-126.203969883641</v>
      </c>
      <c r="L89" s="36"/>
      <c r="M89" s="42"/>
      <c r="N89" s="42"/>
      <c r="O89" s="38"/>
      <c r="P89" s="36"/>
      <c r="Q89" s="43"/>
      <c r="R89" s="37"/>
    </row>
    <row r="90" customFormat="false" ht="15" hidden="false" customHeight="true" outlineLevel="0" collapsed="false">
      <c r="A90" s="27"/>
      <c r="B90" s="28"/>
      <c r="C90" s="28"/>
      <c r="D90" s="27"/>
      <c r="E90" s="29"/>
      <c r="F90" s="30"/>
      <c r="G90" s="31" t="n">
        <f aca="false">IFERROR(E90*F90*12,0)</f>
        <v>0</v>
      </c>
      <c r="H90" s="32"/>
      <c r="I90" s="32"/>
      <c r="J90" s="32"/>
      <c r="K90" s="33" t="n">
        <f aca="true">IFERROR(IF(B90="VACANT",0,(I90-TODAY())/365.25),0)</f>
        <v>-126.203969883641</v>
      </c>
      <c r="L90" s="27"/>
      <c r="M90" s="34"/>
      <c r="N90" s="34"/>
      <c r="O90" s="29"/>
      <c r="P90" s="27"/>
      <c r="Q90" s="35"/>
      <c r="R90" s="28"/>
    </row>
    <row r="91" customFormat="false" ht="15" hidden="false" customHeight="true" outlineLevel="0" collapsed="false">
      <c r="A91" s="36"/>
      <c r="B91" s="37"/>
      <c r="C91" s="37"/>
      <c r="D91" s="36"/>
      <c r="E91" s="38"/>
      <c r="F91" s="39"/>
      <c r="G91" s="31" t="n">
        <f aca="false">IFERROR(E91*F91*12,0)</f>
        <v>0</v>
      </c>
      <c r="H91" s="40"/>
      <c r="I91" s="40"/>
      <c r="J91" s="40"/>
      <c r="K91" s="41" t="n">
        <f aca="true">IFERROR(IF(B91="VACANT",0,(I91-TODAY())/365.25),0)</f>
        <v>-126.203969883641</v>
      </c>
      <c r="L91" s="36"/>
      <c r="M91" s="42"/>
      <c r="N91" s="42"/>
      <c r="O91" s="38"/>
      <c r="P91" s="36"/>
      <c r="Q91" s="43"/>
      <c r="R91" s="37"/>
    </row>
    <row r="92" customFormat="false" ht="15" hidden="false" customHeight="true" outlineLevel="0" collapsed="false">
      <c r="A92" s="27"/>
      <c r="B92" s="28"/>
      <c r="C92" s="28"/>
      <c r="D92" s="27"/>
      <c r="E92" s="29"/>
      <c r="F92" s="30"/>
      <c r="G92" s="31" t="n">
        <f aca="false">IFERROR(E92*F92*12,0)</f>
        <v>0</v>
      </c>
      <c r="H92" s="32"/>
      <c r="I92" s="32"/>
      <c r="J92" s="32"/>
      <c r="K92" s="33" t="n">
        <f aca="true">IFERROR(IF(B92="VACANT",0,(I92-TODAY())/365.25),0)</f>
        <v>-126.203969883641</v>
      </c>
      <c r="L92" s="27"/>
      <c r="M92" s="34"/>
      <c r="N92" s="34"/>
      <c r="O92" s="29"/>
      <c r="P92" s="27"/>
      <c r="Q92" s="35"/>
      <c r="R92" s="28"/>
    </row>
    <row r="93" customFormat="false" ht="15" hidden="false" customHeight="true" outlineLevel="0" collapsed="false">
      <c r="A93" s="36"/>
      <c r="B93" s="37"/>
      <c r="C93" s="37"/>
      <c r="D93" s="36"/>
      <c r="E93" s="38"/>
      <c r="F93" s="39"/>
      <c r="G93" s="31" t="n">
        <f aca="false">IFERROR(E93*F93*12,0)</f>
        <v>0</v>
      </c>
      <c r="H93" s="40"/>
      <c r="I93" s="40"/>
      <c r="J93" s="40"/>
      <c r="K93" s="41" t="n">
        <f aca="true">IFERROR(IF(B93="VACANT",0,(I93-TODAY())/365.25),0)</f>
        <v>-126.203969883641</v>
      </c>
      <c r="L93" s="36"/>
      <c r="M93" s="42"/>
      <c r="N93" s="42"/>
      <c r="O93" s="38"/>
      <c r="P93" s="36"/>
      <c r="Q93" s="43"/>
      <c r="R93" s="37"/>
    </row>
    <row r="94" customFormat="false" ht="15" hidden="false" customHeight="true" outlineLevel="0" collapsed="false">
      <c r="A94" s="27"/>
      <c r="B94" s="28"/>
      <c r="C94" s="28"/>
      <c r="D94" s="27"/>
      <c r="E94" s="29"/>
      <c r="F94" s="30"/>
      <c r="G94" s="31" t="n">
        <f aca="false">IFERROR(E94*F94*12,0)</f>
        <v>0</v>
      </c>
      <c r="H94" s="32"/>
      <c r="I94" s="32"/>
      <c r="J94" s="32"/>
      <c r="K94" s="33" t="n">
        <f aca="true">IFERROR(IF(B94="VACANT",0,(I94-TODAY())/365.25),0)</f>
        <v>-126.203969883641</v>
      </c>
      <c r="L94" s="27"/>
      <c r="M94" s="34"/>
      <c r="N94" s="34"/>
      <c r="O94" s="29"/>
      <c r="P94" s="27"/>
      <c r="Q94" s="35"/>
      <c r="R94" s="28"/>
    </row>
    <row r="95" customFormat="false" ht="15" hidden="false" customHeight="true" outlineLevel="0" collapsed="false">
      <c r="A95" s="36"/>
      <c r="B95" s="37"/>
      <c r="C95" s="37"/>
      <c r="D95" s="36"/>
      <c r="E95" s="38"/>
      <c r="F95" s="39"/>
      <c r="G95" s="31" t="n">
        <f aca="false">IFERROR(E95*F95*12,0)</f>
        <v>0</v>
      </c>
      <c r="H95" s="40"/>
      <c r="I95" s="40"/>
      <c r="J95" s="40"/>
      <c r="K95" s="41" t="n">
        <f aca="true">IFERROR(IF(B95="VACANT",0,(I95-TODAY())/365.25),0)</f>
        <v>-126.203969883641</v>
      </c>
      <c r="L95" s="36"/>
      <c r="M95" s="42"/>
      <c r="N95" s="42"/>
      <c r="O95" s="38"/>
      <c r="P95" s="36"/>
      <c r="Q95" s="43"/>
      <c r="R95" s="37"/>
    </row>
    <row r="96" customFormat="false" ht="15" hidden="false" customHeight="true" outlineLevel="0" collapsed="false">
      <c r="A96" s="27"/>
      <c r="B96" s="28"/>
      <c r="C96" s="28"/>
      <c r="D96" s="27"/>
      <c r="E96" s="29"/>
      <c r="F96" s="30"/>
      <c r="G96" s="31" t="n">
        <f aca="false">IFERROR(E96*F96*12,0)</f>
        <v>0</v>
      </c>
      <c r="H96" s="32"/>
      <c r="I96" s="32"/>
      <c r="J96" s="32"/>
      <c r="K96" s="33" t="n">
        <f aca="true">IFERROR(IF(B96="VACANT",0,(I96-TODAY())/365.25),0)</f>
        <v>-126.203969883641</v>
      </c>
      <c r="L96" s="27"/>
      <c r="M96" s="34"/>
      <c r="N96" s="34"/>
      <c r="O96" s="29"/>
      <c r="P96" s="27"/>
      <c r="Q96" s="35"/>
      <c r="R96" s="28"/>
    </row>
    <row r="97" customFormat="false" ht="15" hidden="false" customHeight="true" outlineLevel="0" collapsed="false">
      <c r="A97" s="36"/>
      <c r="B97" s="37"/>
      <c r="C97" s="37"/>
      <c r="D97" s="36"/>
      <c r="E97" s="38"/>
      <c r="F97" s="39"/>
      <c r="G97" s="31" t="n">
        <f aca="false">IFERROR(E97*F97*12,0)</f>
        <v>0</v>
      </c>
      <c r="H97" s="40"/>
      <c r="I97" s="40"/>
      <c r="J97" s="40"/>
      <c r="K97" s="41" t="n">
        <f aca="true">IFERROR(IF(B97="VACANT",0,(I97-TODAY())/365.25),0)</f>
        <v>-126.203969883641</v>
      </c>
      <c r="L97" s="36"/>
      <c r="M97" s="42"/>
      <c r="N97" s="42"/>
      <c r="O97" s="38"/>
      <c r="P97" s="36"/>
      <c r="Q97" s="43"/>
      <c r="R97" s="37"/>
    </row>
    <row r="98" customFormat="false" ht="15" hidden="false" customHeight="true" outlineLevel="0" collapsed="false">
      <c r="A98" s="27"/>
      <c r="B98" s="28"/>
      <c r="C98" s="28"/>
      <c r="D98" s="27"/>
      <c r="E98" s="29"/>
      <c r="F98" s="30"/>
      <c r="G98" s="31" t="n">
        <f aca="false">IFERROR(E98*F98*12,0)</f>
        <v>0</v>
      </c>
      <c r="H98" s="32"/>
      <c r="I98" s="32"/>
      <c r="J98" s="32"/>
      <c r="K98" s="33" t="n">
        <f aca="true">IFERROR(IF(B98="VACANT",0,(I98-TODAY())/365.25),0)</f>
        <v>-126.203969883641</v>
      </c>
      <c r="L98" s="27"/>
      <c r="M98" s="34"/>
      <c r="N98" s="34"/>
      <c r="O98" s="29"/>
      <c r="P98" s="27"/>
      <c r="Q98" s="35"/>
      <c r="R98" s="28"/>
    </row>
    <row r="99" customFormat="false" ht="15" hidden="false" customHeight="true" outlineLevel="0" collapsed="false">
      <c r="A99" s="36"/>
      <c r="B99" s="37"/>
      <c r="C99" s="37"/>
      <c r="D99" s="36"/>
      <c r="E99" s="38"/>
      <c r="F99" s="39"/>
      <c r="G99" s="31" t="n">
        <f aca="false">IFERROR(E99*F99*12,0)</f>
        <v>0</v>
      </c>
      <c r="H99" s="40"/>
      <c r="I99" s="40"/>
      <c r="J99" s="40"/>
      <c r="K99" s="41" t="n">
        <f aca="true">IFERROR(IF(B99="VACANT",0,(I99-TODAY())/365.25),0)</f>
        <v>-126.203969883641</v>
      </c>
      <c r="L99" s="36"/>
      <c r="M99" s="42"/>
      <c r="N99" s="42"/>
      <c r="O99" s="38"/>
      <c r="P99" s="36"/>
      <c r="Q99" s="43"/>
      <c r="R99" s="37"/>
    </row>
    <row r="100" customFormat="false" ht="15" hidden="false" customHeight="true" outlineLevel="0" collapsed="false">
      <c r="A100" s="27"/>
      <c r="B100" s="28"/>
      <c r="C100" s="28"/>
      <c r="D100" s="27"/>
      <c r="E100" s="29"/>
      <c r="F100" s="30"/>
      <c r="G100" s="31" t="n">
        <f aca="false">IFERROR(E100*F100*12,0)</f>
        <v>0</v>
      </c>
      <c r="H100" s="32"/>
      <c r="I100" s="32"/>
      <c r="J100" s="32"/>
      <c r="K100" s="33" t="n">
        <f aca="true">IFERROR(IF(B100="VACANT",0,(I100-TODAY())/365.25),0)</f>
        <v>-126.203969883641</v>
      </c>
      <c r="L100" s="27"/>
      <c r="M100" s="34"/>
      <c r="N100" s="34"/>
      <c r="O100" s="29"/>
      <c r="P100" s="27"/>
      <c r="Q100" s="35"/>
      <c r="R100" s="28"/>
    </row>
    <row r="101" customFormat="false" ht="15" hidden="false" customHeight="true" outlineLevel="0" collapsed="false">
      <c r="A101" s="36"/>
      <c r="B101" s="37"/>
      <c r="C101" s="37"/>
      <c r="D101" s="36"/>
      <c r="E101" s="38"/>
      <c r="F101" s="39"/>
      <c r="G101" s="31" t="n">
        <f aca="false">IFERROR(E101*F101*12,0)</f>
        <v>0</v>
      </c>
      <c r="H101" s="40"/>
      <c r="I101" s="40"/>
      <c r="J101" s="40"/>
      <c r="K101" s="41" t="n">
        <f aca="true">IFERROR(IF(B101="VACANT",0,(I101-TODAY())/365.25),0)</f>
        <v>-126.203969883641</v>
      </c>
      <c r="L101" s="36"/>
      <c r="M101" s="42"/>
      <c r="N101" s="42"/>
      <c r="O101" s="38"/>
      <c r="P101" s="36"/>
      <c r="Q101" s="43"/>
      <c r="R101" s="37"/>
    </row>
    <row r="102" customFormat="false" ht="15" hidden="false" customHeight="true" outlineLevel="0" collapsed="false">
      <c r="A102" s="27"/>
      <c r="B102" s="28"/>
      <c r="C102" s="28"/>
      <c r="D102" s="27"/>
      <c r="E102" s="29"/>
      <c r="F102" s="30"/>
      <c r="G102" s="31" t="n">
        <f aca="false">IFERROR(E102*F102*12,0)</f>
        <v>0</v>
      </c>
      <c r="H102" s="32"/>
      <c r="I102" s="32"/>
      <c r="J102" s="32"/>
      <c r="K102" s="33" t="n">
        <f aca="true">IFERROR(IF(B102="VACANT",0,(I102-TODAY())/365.25),0)</f>
        <v>-126.203969883641</v>
      </c>
      <c r="L102" s="27"/>
      <c r="M102" s="34"/>
      <c r="N102" s="34"/>
      <c r="O102" s="29"/>
      <c r="P102" s="27"/>
      <c r="Q102" s="35"/>
      <c r="R102" s="28"/>
    </row>
    <row r="103" customFormat="false" ht="15" hidden="false" customHeight="true" outlineLevel="0" collapsed="false">
      <c r="A103" s="36"/>
      <c r="B103" s="37"/>
      <c r="C103" s="37"/>
      <c r="D103" s="36"/>
      <c r="E103" s="38"/>
      <c r="F103" s="39"/>
      <c r="G103" s="31" t="n">
        <f aca="false">IFERROR(E103*F103*12,0)</f>
        <v>0</v>
      </c>
      <c r="H103" s="40"/>
      <c r="I103" s="40"/>
      <c r="J103" s="40"/>
      <c r="K103" s="41" t="n">
        <f aca="true">IFERROR(IF(B103="VACANT",0,(I103-TODAY())/365.25),0)</f>
        <v>-126.203969883641</v>
      </c>
      <c r="L103" s="36"/>
      <c r="M103" s="42"/>
      <c r="N103" s="42"/>
      <c r="O103" s="38"/>
      <c r="P103" s="36"/>
      <c r="Q103" s="43"/>
      <c r="R103" s="37"/>
    </row>
    <row r="105" customFormat="false" ht="7.5" hidden="false" customHeight="true" outlineLevel="0" collapsed="false"/>
    <row r="106" customFormat="false" ht="21.75" hidden="false" customHeight="true" outlineLevel="0" collapsed="false">
      <c r="A106" s="44" t="s">
        <v>113</v>
      </c>
      <c r="B106" s="44"/>
      <c r="C106" s="44"/>
      <c r="D106" s="44"/>
    </row>
    <row r="107" customFormat="false" ht="15" hidden="false" customHeight="true" outlineLevel="0" collapsed="false">
      <c r="A107" s="45" t="s">
        <v>114</v>
      </c>
      <c r="B107" s="46" t="n">
        <f aca="false">SUMIF(B4:B103,"&lt;&gt;VACANT",E4:E103)</f>
        <v>3780</v>
      </c>
    </row>
    <row r="108" customFormat="false" ht="15" hidden="false" customHeight="true" outlineLevel="0" collapsed="false">
      <c r="A108" s="45" t="s">
        <v>115</v>
      </c>
      <c r="B108" s="46" t="n">
        <f aca="false">SUMIF(B4:B103,"VACANT",E4:E103)</f>
        <v>450</v>
      </c>
    </row>
    <row r="109" customFormat="false" ht="15" hidden="false" customHeight="true" outlineLevel="0" collapsed="false">
      <c r="A109" s="45" t="s">
        <v>116</v>
      </c>
      <c r="B109" s="46" t="n">
        <f aca="false">B107+B108</f>
        <v>4230</v>
      </c>
    </row>
    <row r="110" customFormat="false" ht="15" hidden="false" customHeight="true" outlineLevel="0" collapsed="false">
      <c r="A110" s="45" t="s">
        <v>49</v>
      </c>
      <c r="B110" s="47" t="n">
        <f aca="false">SUMIF(B4:B103,"&lt;&gt;VACANT",G4:G103)</f>
        <v>450240</v>
      </c>
    </row>
    <row r="111" customFormat="false" ht="23.25" hidden="false" customHeight="true" outlineLevel="0" collapsed="false">
      <c r="A111" s="45" t="s">
        <v>117</v>
      </c>
      <c r="B111" s="48" t="s">
        <v>118</v>
      </c>
    </row>
    <row r="112" customFormat="false" ht="23.25" hidden="false" customHeight="true" outlineLevel="0" collapsed="false">
      <c r="A112" s="45" t="s">
        <v>119</v>
      </c>
      <c r="B112" s="48" t="s">
        <v>120</v>
      </c>
    </row>
    <row r="113" customFormat="false" ht="15" hidden="false" customHeight="true" outlineLevel="0" collapsed="false">
      <c r="A113" s="45" t="s">
        <v>121</v>
      </c>
      <c r="B113" s="46" t="n">
        <f aca="false">COUNTIF(B4:B103,"&lt;&gt;VACANT")</f>
        <v>99</v>
      </c>
    </row>
    <row r="114" customFormat="false" ht="15" hidden="false" customHeight="true" outlineLevel="0" collapsed="false">
      <c r="A114" s="45" t="s">
        <v>122</v>
      </c>
      <c r="B114" s="46" t="n">
        <f aca="false">COUNTIF(B4:B103,"VACANT")</f>
        <v>1</v>
      </c>
    </row>
    <row r="115" customFormat="false" ht="15" hidden="false" customHeight="true" outlineLevel="0" collapsed="false">
      <c r="A115" s="45" t="s">
        <v>64</v>
      </c>
      <c r="B115" s="49" t="n">
        <f aca="false">IFERROR(SUMPRODUCT((B4:B103&lt;&gt;"VACANT")*G4:G103*K4:K103)/SUMIF(B4:B103,"&lt;&gt;VACANT",G4:G103),0)</f>
        <v>2.48588678782678</v>
      </c>
    </row>
    <row r="116" customFormat="false" ht="15" hidden="false" customHeight="true" outlineLevel="0" collapsed="false">
      <c r="A116" s="45" t="s">
        <v>123</v>
      </c>
      <c r="B116" s="47" t="n">
        <f aca="false">IFERROR(B110/(B107*12),0)</f>
        <v>9.92592592592593</v>
      </c>
    </row>
    <row r="117" customFormat="false" ht="15" hidden="false" customHeight="true" outlineLevel="0" collapsed="false">
      <c r="A117" s="45" t="s">
        <v>67</v>
      </c>
      <c r="B117" s="50" t="n">
        <f aca="false">IFERROR(B108/B109,0)</f>
        <v>0.106382978723404</v>
      </c>
    </row>
    <row r="118" customFormat="false" ht="15" hidden="false" customHeight="true" outlineLevel="0" collapsed="false">
      <c r="A118" s="45" t="s">
        <v>124</v>
      </c>
      <c r="B118" s="50" t="n">
        <f aca="false">IFERROR(COUNTIF(L4:L103,"Y")/B113,0)</f>
        <v>0.0202020202020202</v>
      </c>
    </row>
    <row r="119" customFormat="false" ht="15" hidden="false" customHeight="true" outlineLevel="0" collapsed="false">
      <c r="A119" s="45" t="s">
        <v>70</v>
      </c>
      <c r="B119" s="50" t="n">
        <f aca="false">IFERROR(SUMIF(D4:D103,"Y",G4:G103)/B110,0)</f>
        <v>0.634328358208955</v>
      </c>
    </row>
    <row r="120" customFormat="false" ht="15" hidden="false" customHeight="true" outlineLevel="0" collapsed="false">
      <c r="A120" s="45" t="s">
        <v>125</v>
      </c>
      <c r="B120" s="49" t="n">
        <f aca="false">IFERROR(minifs(K4:K103,B4:B103,"&lt;&gt;VACANT"),0)</f>
        <v>0</v>
      </c>
    </row>
  </sheetData>
  <mergeCells count="3">
    <mergeCell ref="A1:R1"/>
    <mergeCell ref="A2:R2"/>
    <mergeCell ref="A106:D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58"/>
  </cols>
  <sheetData>
    <row r="1" customFormat="false" ht="30" hidden="false" customHeight="true" outlineLevel="0" collapsed="false">
      <c r="A1" s="25" t="s">
        <v>126</v>
      </c>
      <c r="B1" s="25"/>
      <c r="C1" s="25"/>
      <c r="D1" s="25"/>
      <c r="E1" s="25"/>
      <c r="F1" s="25"/>
      <c r="G1" s="25"/>
      <c r="H1" s="25"/>
    </row>
    <row r="2" customFormat="false" ht="13.5" hidden="false" customHeight="true" outlineLevel="0" collapsed="false">
      <c r="A2" s="3" t="s">
        <v>127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4" t="s">
        <v>128</v>
      </c>
      <c r="B4" s="4"/>
      <c r="C4" s="4"/>
      <c r="D4" s="4"/>
      <c r="E4" s="4"/>
      <c r="F4" s="4"/>
      <c r="G4" s="4"/>
      <c r="H4" s="4"/>
    </row>
    <row r="5" customFormat="false" ht="18" hidden="false" customHeight="true" outlineLevel="0" collapsed="false">
      <c r="A5" s="51" t="s">
        <v>49</v>
      </c>
      <c r="B5" s="52" t="n">
        <f aca="false">'Rent Roll'!B110</f>
        <v>450240</v>
      </c>
    </row>
    <row r="6" customFormat="false" ht="18" hidden="false" customHeight="true" outlineLevel="0" collapsed="false">
      <c r="A6" s="53" t="s">
        <v>116</v>
      </c>
      <c r="B6" s="52" t="n">
        <f aca="false">'Rent Roll'!B109</f>
        <v>4230</v>
      </c>
    </row>
    <row r="7" customFormat="false" ht="18" hidden="false" customHeight="true" outlineLevel="0" collapsed="false">
      <c r="A7" s="51" t="s">
        <v>129</v>
      </c>
      <c r="B7" s="52" t="n">
        <f aca="false">'Rent Roll'!B107</f>
        <v>3780</v>
      </c>
    </row>
    <row r="8" customFormat="false" ht="18" hidden="false" customHeight="true" outlineLevel="0" collapsed="false">
      <c r="A8" s="53" t="s">
        <v>130</v>
      </c>
      <c r="B8" s="52" t="n">
        <f aca="false">'Rent Roll'!B108</f>
        <v>450</v>
      </c>
    </row>
    <row r="9" customFormat="false" ht="18" hidden="false" customHeight="true" outlineLevel="0" collapsed="false">
      <c r="A9" s="51" t="s">
        <v>67</v>
      </c>
      <c r="B9" s="54" t="n">
        <f aca="false">'Rent Roll'!B117</f>
        <v>0.106382978723404</v>
      </c>
    </row>
    <row r="10" customFormat="false" ht="18" hidden="false" customHeight="true" outlineLevel="0" collapsed="false">
      <c r="A10" s="53" t="s">
        <v>122</v>
      </c>
      <c r="B10" s="52" t="n">
        <f aca="false">'Rent Roll'!B114</f>
        <v>1</v>
      </c>
    </row>
    <row r="12" customFormat="false" ht="19.5" hidden="false" customHeight="true" outlineLevel="0" collapsed="false">
      <c r="A12" s="4" t="s">
        <v>131</v>
      </c>
      <c r="B12" s="4"/>
      <c r="C12" s="4"/>
      <c r="D12" s="4"/>
      <c r="E12" s="4"/>
      <c r="F12" s="4"/>
      <c r="G12" s="4"/>
      <c r="H12" s="4"/>
    </row>
    <row r="13" customFormat="false" ht="19.5" hidden="false" customHeight="true" outlineLevel="0" collapsed="false">
      <c r="A13" s="55" t="s">
        <v>132</v>
      </c>
      <c r="B13" s="55" t="s">
        <v>133</v>
      </c>
      <c r="C13" s="55" t="s">
        <v>134</v>
      </c>
      <c r="D13" s="55" t="s">
        <v>135</v>
      </c>
      <c r="E13" s="55" t="s">
        <v>48</v>
      </c>
    </row>
    <row r="14" customFormat="false" ht="27.75" hidden="false" customHeight="true" outlineLevel="0" collapsed="false">
      <c r="A14" s="56" t="s">
        <v>136</v>
      </c>
      <c r="B14" s="57" t="s">
        <v>137</v>
      </c>
      <c r="C14" s="58" t="n">
        <v>0.015</v>
      </c>
      <c r="D14" s="59" t="n">
        <f aca="false">C14*B5</f>
        <v>6753.6</v>
      </c>
      <c r="E14" s="60" t="s">
        <v>138</v>
      </c>
    </row>
    <row r="15" customFormat="false" ht="27.75" hidden="false" customHeight="true" outlineLevel="0" collapsed="false">
      <c r="A15" s="61" t="s">
        <v>139</v>
      </c>
      <c r="B15" s="62" t="s">
        <v>137</v>
      </c>
      <c r="C15" s="63" t="n">
        <v>0.005</v>
      </c>
      <c r="D15" s="59" t="n">
        <f aca="false">C15*B5</f>
        <v>2251.2</v>
      </c>
      <c r="E15" s="64" t="s">
        <v>140</v>
      </c>
    </row>
    <row r="16" customFormat="false" ht="27.75" hidden="false" customHeight="true" outlineLevel="0" collapsed="false">
      <c r="A16" s="56" t="s">
        <v>141</v>
      </c>
      <c r="B16" s="57" t="s">
        <v>142</v>
      </c>
      <c r="C16" s="65" t="n">
        <v>2.5</v>
      </c>
      <c r="D16" s="59" t="n">
        <f aca="false">C16*B6</f>
        <v>10575</v>
      </c>
      <c r="E16" s="60" t="s">
        <v>143</v>
      </c>
    </row>
    <row r="17" customFormat="false" ht="27.75" hidden="false" customHeight="true" outlineLevel="0" collapsed="false">
      <c r="A17" s="61" t="s">
        <v>144</v>
      </c>
      <c r="B17" s="62" t="s">
        <v>142</v>
      </c>
      <c r="C17" s="65" t="n">
        <v>5</v>
      </c>
      <c r="D17" s="59" t="n">
        <f aca="false">C17*B6</f>
        <v>21150</v>
      </c>
      <c r="E17" s="64" t="s">
        <v>145</v>
      </c>
    </row>
    <row r="18" customFormat="false" ht="27.75" hidden="false" customHeight="true" outlineLevel="0" collapsed="false">
      <c r="A18" s="56" t="s">
        <v>146</v>
      </c>
      <c r="B18" s="57" t="s">
        <v>147</v>
      </c>
      <c r="C18" s="66" t="n">
        <v>0</v>
      </c>
      <c r="D18" s="59" t="n">
        <f aca="false">C18</f>
        <v>0</v>
      </c>
      <c r="E18" s="60" t="s">
        <v>148</v>
      </c>
    </row>
    <row r="19" customFormat="false" ht="27.75" hidden="false" customHeight="true" outlineLevel="0" collapsed="false">
      <c r="A19" s="61" t="s">
        <v>149</v>
      </c>
      <c r="B19" s="62" t="s">
        <v>150</v>
      </c>
      <c r="C19" s="67" t="n">
        <v>0</v>
      </c>
      <c r="D19" s="59" t="n">
        <f aca="false">C19</f>
        <v>0</v>
      </c>
      <c r="E19" s="64" t="s">
        <v>151</v>
      </c>
    </row>
    <row r="20" customFormat="false" ht="27.75" hidden="false" customHeight="true" outlineLevel="0" collapsed="false">
      <c r="A20" s="56" t="s">
        <v>152</v>
      </c>
      <c r="B20" s="57" t="s">
        <v>153</v>
      </c>
      <c r="C20" s="65" t="n">
        <v>18</v>
      </c>
      <c r="D20" s="59" t="n">
        <f aca="false">C20*B8</f>
        <v>8100</v>
      </c>
      <c r="E20" s="60" t="s">
        <v>154</v>
      </c>
    </row>
    <row r="21" customFormat="false" ht="27.75" hidden="false" customHeight="true" outlineLevel="0" collapsed="false">
      <c r="A21" s="61" t="s">
        <v>155</v>
      </c>
      <c r="B21" s="62" t="s">
        <v>153</v>
      </c>
      <c r="C21" s="68" t="n">
        <v>1.5</v>
      </c>
      <c r="D21" s="59" t="n">
        <f aca="false">C21*B8</f>
        <v>675</v>
      </c>
      <c r="E21" s="64" t="s">
        <v>156</v>
      </c>
    </row>
    <row r="22" customFormat="false" ht="27.75" hidden="false" customHeight="true" outlineLevel="0" collapsed="false">
      <c r="A22" s="56" t="s">
        <v>157</v>
      </c>
      <c r="B22" s="57" t="s">
        <v>158</v>
      </c>
      <c r="C22" s="58" t="n">
        <v>0.05</v>
      </c>
      <c r="D22" s="59" t="n">
        <f aca="false">C22*B5</f>
        <v>22512</v>
      </c>
      <c r="E22" s="60" t="s">
        <v>159</v>
      </c>
    </row>
    <row r="23" customFormat="false" ht="27.75" hidden="false" customHeight="true" outlineLevel="0" collapsed="false">
      <c r="A23" s="61" t="s">
        <v>160</v>
      </c>
      <c r="B23" s="62" t="s">
        <v>150</v>
      </c>
      <c r="C23" s="69" t="n">
        <v>0</v>
      </c>
      <c r="D23" s="59" t="n">
        <f aca="false">C23</f>
        <v>0</v>
      </c>
      <c r="E23" s="64" t="s">
        <v>161</v>
      </c>
    </row>
    <row r="25" customFormat="false" ht="19.5" hidden="false" customHeight="true" outlineLevel="0" collapsed="false">
      <c r="A25" s="4" t="s">
        <v>162</v>
      </c>
      <c r="B25" s="4"/>
      <c r="C25" s="4"/>
      <c r="D25" s="4"/>
      <c r="E25" s="4"/>
      <c r="F25" s="4"/>
      <c r="G25" s="4"/>
      <c r="H25" s="4"/>
    </row>
    <row r="26" customFormat="false" ht="18" hidden="false" customHeight="true" outlineLevel="0" collapsed="false">
      <c r="A26" s="70" t="s">
        <v>49</v>
      </c>
      <c r="B26" s="71" t="n">
        <f aca="false">B5</f>
        <v>450240</v>
      </c>
    </row>
    <row r="27" customFormat="false" ht="18" hidden="false" customHeight="true" outlineLevel="0" collapsed="false">
      <c r="A27" s="72" t="s">
        <v>163</v>
      </c>
      <c r="B27" s="73" t="n">
        <f aca="false">SUM(D14:D23)*-1</f>
        <v>-72016.8</v>
      </c>
    </row>
    <row r="28" customFormat="false" ht="21.75" hidden="false" customHeight="true" outlineLevel="0" collapsed="false">
      <c r="A28" s="74" t="s">
        <v>164</v>
      </c>
      <c r="B28" s="75" t="n">
        <f aca="false">B26+B27</f>
        <v>378223.2</v>
      </c>
    </row>
    <row r="29" customFormat="false" ht="18" hidden="false" customHeight="true" outlineLevel="0" collapsed="false">
      <c r="A29" s="72" t="s">
        <v>165</v>
      </c>
      <c r="B29" s="76" t="n">
        <f aca="false">IFERROR(B28/B5,0)</f>
        <v>0.840047974413646</v>
      </c>
    </row>
    <row r="30" customFormat="false" ht="18" hidden="false" customHeight="true" outlineLevel="0" collapsed="false">
      <c r="A30" s="70" t="s">
        <v>166</v>
      </c>
      <c r="B30" s="77" t="n">
        <f aca="false">IFERROR(B28/B6,0)</f>
        <v>89.4144680851064</v>
      </c>
    </row>
    <row r="31" customFormat="false" ht="18" hidden="false" customHeight="true" outlineLevel="0" collapsed="false">
      <c r="A31" s="72" t="s">
        <v>167</v>
      </c>
      <c r="B31" s="77" t="n">
        <f aca="false">IFERROR(B28/B7,0)</f>
        <v>100.059047619048</v>
      </c>
    </row>
  </sheetData>
  <mergeCells count="5">
    <mergeCell ref="A1:H1"/>
    <mergeCell ref="A2:H2"/>
    <mergeCell ref="A4:H4"/>
    <mergeCell ref="A12:H12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4"/>
  </cols>
  <sheetData>
    <row r="1" customFormat="false" ht="27.75" hidden="false" customHeight="true" outlineLevel="0" collapsed="false">
      <c r="A1" s="25" t="s">
        <v>168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3" customFormat="false" ht="15" hidden="false" customHeight="true" outlineLevel="0" collapsed="false">
      <c r="A3" s="78" t="s">
        <v>169</v>
      </c>
      <c r="B3" s="78"/>
      <c r="C3" s="78"/>
      <c r="D3" s="78"/>
    </row>
    <row r="4" customFormat="false" ht="15" hidden="false" customHeight="true" outlineLevel="0" collapsed="false">
      <c r="A4" s="79" t="s">
        <v>170</v>
      </c>
      <c r="B4" s="80" t="n">
        <f aca="false">'Rent Roll'!B110</f>
        <v>450240</v>
      </c>
    </row>
    <row r="5" customFormat="false" ht="15" hidden="false" customHeight="true" outlineLevel="0" collapsed="false">
      <c r="A5" s="79" t="s">
        <v>171</v>
      </c>
      <c r="B5" s="81" t="n">
        <v>0.025</v>
      </c>
    </row>
    <row r="6" customFormat="false" ht="15" hidden="false" customHeight="true" outlineLevel="0" collapsed="false">
      <c r="A6" s="79" t="s">
        <v>172</v>
      </c>
      <c r="B6" s="81" t="n">
        <v>0.01</v>
      </c>
    </row>
    <row r="7" customFormat="false" ht="15" hidden="false" customHeight="true" outlineLevel="0" collapsed="false">
      <c r="A7" s="79" t="s">
        <v>173</v>
      </c>
      <c r="B7" s="81" t="n">
        <v>0.035</v>
      </c>
    </row>
    <row r="8" customFormat="false" ht="15" hidden="false" customHeight="true" outlineLevel="0" collapsed="false">
      <c r="A8" s="79" t="s">
        <v>174</v>
      </c>
      <c r="B8" s="82" t="n">
        <f aca="false">'Rent Roll'!B118</f>
        <v>0.0202020202020202</v>
      </c>
    </row>
    <row r="9" customFormat="false" ht="15" hidden="false" customHeight="true" outlineLevel="0" collapsed="false">
      <c r="A9" s="79" t="s">
        <v>175</v>
      </c>
      <c r="B9" s="81" t="n">
        <v>0.1</v>
      </c>
    </row>
    <row r="10" customFormat="false" ht="15" hidden="false" customHeight="true" outlineLevel="0" collapsed="false">
      <c r="A10" s="79" t="s">
        <v>176</v>
      </c>
      <c r="B10" s="81" t="n">
        <v>0.005</v>
      </c>
    </row>
    <row r="11" customFormat="false" ht="15" hidden="false" customHeight="true" outlineLevel="0" collapsed="false">
      <c r="A11" s="79" t="s">
        <v>177</v>
      </c>
      <c r="B11" s="81" t="n">
        <v>0.065</v>
      </c>
    </row>
    <row r="12" customFormat="false" ht="15" hidden="false" customHeight="true" outlineLevel="0" collapsed="false">
      <c r="A12" s="79" t="s">
        <v>178</v>
      </c>
      <c r="B12" s="81" t="n">
        <v>0.08</v>
      </c>
    </row>
    <row r="13" customFormat="false" ht="15" hidden="false" customHeight="true" outlineLevel="0" collapsed="false">
      <c r="A13" s="79" t="s">
        <v>179</v>
      </c>
      <c r="B13" s="81" t="n">
        <v>0.055</v>
      </c>
    </row>
    <row r="15" customFormat="false" ht="7.5" hidden="false" customHeight="true" outlineLevel="0" collapsed="false"/>
    <row r="16" customFormat="false" ht="19.5" hidden="false" customHeight="true" outlineLevel="0" collapsed="false">
      <c r="A16" s="83" t="s">
        <v>180</v>
      </c>
      <c r="B16" s="9" t="s">
        <v>181</v>
      </c>
      <c r="C16" s="9" t="s">
        <v>182</v>
      </c>
      <c r="D16" s="9" t="s">
        <v>183</v>
      </c>
      <c r="E16" s="9" t="s">
        <v>184</v>
      </c>
      <c r="F16" s="9" t="s">
        <v>185</v>
      </c>
      <c r="G16" s="9" t="s">
        <v>186</v>
      </c>
      <c r="H16" s="9" t="s">
        <v>187</v>
      </c>
      <c r="I16" s="9" t="s">
        <v>188</v>
      </c>
      <c r="J16" s="9" t="s">
        <v>189</v>
      </c>
      <c r="K16" s="9" t="s">
        <v>190</v>
      </c>
    </row>
    <row r="17" customFormat="false" ht="15" hidden="false" customHeight="true" outlineLevel="0" collapsed="false">
      <c r="A17" s="84" t="s">
        <v>191</v>
      </c>
      <c r="B17" s="85" t="n">
        <f aca="false">(1+$B$5)^1</f>
        <v>1.025</v>
      </c>
      <c r="C17" s="85" t="n">
        <f aca="false">(1+$B$5)^2</f>
        <v>1.050625</v>
      </c>
      <c r="D17" s="85" t="n">
        <f aca="false">(1+$B$5)^3</f>
        <v>1.076890625</v>
      </c>
      <c r="E17" s="85" t="n">
        <f aca="false">(1+$B$5)^4</f>
        <v>1.103812890625</v>
      </c>
      <c r="F17" s="85" t="n">
        <f aca="false">(1+$B$5)^5</f>
        <v>1.13140821289062</v>
      </c>
      <c r="G17" s="85" t="n">
        <f aca="false">(1+$B$5)^6</f>
        <v>1.15969341821289</v>
      </c>
      <c r="H17" s="85" t="n">
        <f aca="false">(1+$B$5)^7</f>
        <v>1.18868575366821</v>
      </c>
      <c r="I17" s="85" t="n">
        <f aca="false">(1+$B$5)^8</f>
        <v>1.21840289750992</v>
      </c>
      <c r="J17" s="85" t="n">
        <f aca="false">(1+$B$5)^9</f>
        <v>1.24886296994767</v>
      </c>
      <c r="K17" s="85" t="n">
        <f aca="false">(1+$B$5)^10</f>
        <v>1.28008454419636</v>
      </c>
      <c r="L17" s="85" t="n">
        <f aca="false">(1+$B$5)^11</f>
        <v>1.31208665780127</v>
      </c>
    </row>
    <row r="18" customFormat="false" ht="15" hidden="false" customHeight="true" outlineLevel="0" collapsed="false">
      <c r="A18" s="86" t="s">
        <v>192</v>
      </c>
      <c r="B18" s="87" t="n">
        <f aca="false">$B$4*(1+$B$5*$B$8)^1</f>
        <v>450467.393939394</v>
      </c>
      <c r="C18" s="87" t="n">
        <f aca="false">$B$4*(1+$B$5*$B$8)^2</f>
        <v>450694.902724212</v>
      </c>
      <c r="D18" s="87" t="n">
        <f aca="false">$B$4*(1+$B$5*$B$8)^3</f>
        <v>450922.526412457</v>
      </c>
      <c r="E18" s="87" t="n">
        <f aca="false">$B$4*(1+$B$5*$B$8)^4</f>
        <v>451150.26506216</v>
      </c>
      <c r="F18" s="87" t="n">
        <f aca="false">$B$4*(1+$B$5*$B$8)^5</f>
        <v>451378.118731383</v>
      </c>
      <c r="G18" s="87" t="n">
        <f aca="false">$B$4*(1+$B$5*$B$8)^6</f>
        <v>451606.087478217</v>
      </c>
      <c r="H18" s="87" t="n">
        <f aca="false">$B$4*(1+$B$5*$B$8)^7</f>
        <v>451834.171360782</v>
      </c>
      <c r="I18" s="87" t="n">
        <f aca="false">$B$4*(1+$B$5*$B$8)^8</f>
        <v>452062.370437227</v>
      </c>
      <c r="J18" s="87" t="n">
        <f aca="false">$B$4*(1+$B$5*$B$8)^9</f>
        <v>452290.68476573</v>
      </c>
      <c r="K18" s="87" t="n">
        <f aca="false">$B$4*(1+$B$5*$B$8)^10</f>
        <v>452519.114404501</v>
      </c>
      <c r="L18" s="87" t="n">
        <f aca="false">$B$4*(1+$B$5*$B$8)^11</f>
        <v>452747.659411776</v>
      </c>
    </row>
    <row r="19" customFormat="false" ht="15" hidden="false" customHeight="true" outlineLevel="0" collapsed="false">
      <c r="A19" s="84" t="s">
        <v>193</v>
      </c>
      <c r="B19" s="88" t="n">
        <f aca="false">$B$4*(1+$B$6*$B$8)^1</f>
        <v>450330.957575758</v>
      </c>
      <c r="C19" s="88" t="n">
        <f aca="false">$B$4*(1+$B$6*$B$8)^2</f>
        <v>450421.933526783</v>
      </c>
      <c r="D19" s="88" t="n">
        <f aca="false">$B$4*(1+$B$6*$B$8)^3</f>
        <v>450512.927856788</v>
      </c>
      <c r="E19" s="88" t="n">
        <f aca="false">$B$4*(1+$B$6*$B$8)^4</f>
        <v>450603.940569487</v>
      </c>
      <c r="F19" s="88" t="n">
        <f aca="false">$B$4*(1+$B$6*$B$8)^5</f>
        <v>450694.971668591</v>
      </c>
      <c r="G19" s="88" t="n">
        <f aca="false">$B$4*(1+$B$6*$B$8)^6</f>
        <v>450786.021157817</v>
      </c>
      <c r="H19" s="88" t="n">
        <f aca="false">$B$4*(1+$B$6*$B$8)^7</f>
        <v>450877.089040879</v>
      </c>
      <c r="I19" s="88" t="n">
        <f aca="false">$B$4*(1+$B$6*$B$8)^8</f>
        <v>450968.175321494</v>
      </c>
      <c r="J19" s="88" t="n">
        <f aca="false">$B$4*(1+$B$6*$B$8)^9</f>
        <v>451059.280003377</v>
      </c>
      <c r="K19" s="88" t="n">
        <f aca="false">$B$4*(1+$B$6*$B$8)^10</f>
        <v>451150.403090246</v>
      </c>
      <c r="L19" s="88" t="n">
        <f aca="false">$B$4*(1+$B$6*$B$8)^11</f>
        <v>451241.54458582</v>
      </c>
    </row>
    <row r="20" customFormat="false" ht="15" hidden="false" customHeight="true" outlineLevel="0" collapsed="false">
      <c r="A20" s="86" t="s">
        <v>194</v>
      </c>
      <c r="B20" s="87" t="n">
        <f aca="false">$B$4*(1+$B$7*$B$8)^1</f>
        <v>450558.351515152</v>
      </c>
      <c r="C20" s="87" t="n">
        <f aca="false">$B$4*(1+$B$7*$B$8)^2</f>
        <v>450876.928127334</v>
      </c>
      <c r="D20" s="87" t="n">
        <f aca="false">$B$4*(1+$B$7*$B$8)^3</f>
        <v>451195.729995707</v>
      </c>
      <c r="E20" s="87" t="n">
        <f aca="false">$B$4*(1+$B$7*$B$8)^4</f>
        <v>451514.757279542</v>
      </c>
      <c r="F20" s="87" t="n">
        <f aca="false">$B$4*(1+$B$7*$B$8)^5</f>
        <v>451834.010138225</v>
      </c>
      <c r="G20" s="87" t="n">
        <f aca="false">$B$4*(1+$B$7*$B$8)^6</f>
        <v>452153.488731252</v>
      </c>
      <c r="H20" s="87" t="n">
        <f aca="false">$B$4*(1+$B$7*$B$8)^7</f>
        <v>452473.193218233</v>
      </c>
      <c r="I20" s="87" t="n">
        <f aca="false">$B$4*(1+$B$7*$B$8)^8</f>
        <v>452793.123758893</v>
      </c>
      <c r="J20" s="87" t="n">
        <f aca="false">$B$4*(1+$B$7*$B$8)^9</f>
        <v>453113.280513066</v>
      </c>
      <c r="K20" s="87" t="n">
        <f aca="false">$B$4*(1+$B$7*$B$8)^10</f>
        <v>453433.663640701</v>
      </c>
      <c r="L20" s="87" t="n">
        <f aca="false">$B$4*(1+$B$7*$B$8)^11</f>
        <v>453754.273301861</v>
      </c>
    </row>
    <row r="21" customFormat="false" ht="15" hidden="false" customHeight="true" outlineLevel="0" collapsed="false">
      <c r="A21" s="84" t="s">
        <v>195</v>
      </c>
      <c r="B21" s="89" t="n">
        <f aca="false">($B$4*(1+$B$5*$B$8)^1-$B$4)/$B$4</f>
        <v>0.000505050505050595</v>
      </c>
      <c r="C21" s="89" t="n">
        <f aca="false">($B$4*(1+$B$5*$B$8)^2-$B$4)/$B$4</f>
        <v>0.00101035608611389</v>
      </c>
      <c r="D21" s="89" t="n">
        <f aca="false">($B$4*(1+$B$5*$B$8)^3-$B$4)/$B$4</f>
        <v>0.00151591687201597</v>
      </c>
      <c r="E21" s="89" t="n">
        <f aca="false">($B$4*(1+$B$5*$B$8)^4-$B$4)/$B$4</f>
        <v>0.00202173299164833</v>
      </c>
      <c r="F21" s="89" t="n">
        <f aca="false">($B$4*(1+$B$5*$B$8)^5-$B$4)/$B$4</f>
        <v>0.00252780457396735</v>
      </c>
      <c r="G21" s="89" t="n">
        <f aca="false">($B$4*(1+$B$5*$B$8)^6-$B$4)/$B$4</f>
        <v>0.00303413174799473</v>
      </c>
      <c r="H21" s="89" t="n">
        <f aca="false">($B$4*(1+$B$5*$B$8)^7-$B$4)/$B$4</f>
        <v>0.00354071464281703</v>
      </c>
      <c r="I21" s="89" t="n">
        <f aca="false">($B$4*(1+$B$5*$B$8)^8-$B$4)/$B$4</f>
        <v>0.00404755338758614</v>
      </c>
      <c r="J21" s="89" t="n">
        <f aca="false">($B$4*(1+$B$5*$B$8)^9-$B$4)/$B$4</f>
        <v>0.00455464811151933</v>
      </c>
      <c r="K21" s="89" t="n">
        <f aca="false">($B$4*(1+$B$5*$B$8)^10-$B$4)/$B$4</f>
        <v>0.00506199894389891</v>
      </c>
      <c r="L21" s="89" t="n">
        <f aca="false">($B$4*(1+$B$5*$B$8)^11-$B$4)/$B$4</f>
        <v>0.00556960601407262</v>
      </c>
    </row>
    <row r="22" customFormat="false" ht="15" hidden="false" customHeight="true" outlineLevel="0" collapsed="false">
      <c r="A22" s="86" t="s">
        <v>196</v>
      </c>
      <c r="B22" s="87" t="n">
        <f aca="false">IFERROR($B$4*(1+$B$5*$B$8)^1/$B$10,0)</f>
        <v>90093478.7878788</v>
      </c>
      <c r="C22" s="87" t="n">
        <f aca="false">IFERROR($B$4*(1+$B$5*$B$8)^2/$B$10,0)</f>
        <v>90138980.5448424</v>
      </c>
      <c r="D22" s="87" t="n">
        <f aca="false">IFERROR($B$4*(1+$B$5*$B$8)^3/$B$10,0)</f>
        <v>90184505.2824913</v>
      </c>
      <c r="E22" s="87" t="n">
        <f aca="false">IFERROR($B$4*(1+$B$5*$B$8)^4/$B$10,0)</f>
        <v>90230053.012432</v>
      </c>
      <c r="F22" s="87" t="n">
        <f aca="false">IFERROR($B$4*(1+$B$5*$B$8)^5/$B$10,0)</f>
        <v>90275623.7462766</v>
      </c>
      <c r="G22" s="87" t="n">
        <f aca="false">IFERROR($B$4*(1+$B$5*$B$8)^6/$B$10,0)</f>
        <v>90321217.4956434</v>
      </c>
      <c r="H22" s="87" t="n">
        <f aca="false">IFERROR($B$4*(1+$B$5*$B$8)^7/$B$10,0)</f>
        <v>90366834.2721564</v>
      </c>
      <c r="I22" s="87" t="n">
        <f aca="false">IFERROR($B$4*(1+$B$5*$B$8)^8/$B$10,0)</f>
        <v>90412474.0874454</v>
      </c>
      <c r="J22" s="87" t="n">
        <f aca="false">IFERROR($B$4*(1+$B$5*$B$8)^9/$B$10,0)</f>
        <v>90458136.9531461</v>
      </c>
      <c r="K22" s="87" t="n">
        <f aca="false">IFERROR($B$4*(1+$B$5*$B$8)^10/$B$10,0)</f>
        <v>90503822.8809002</v>
      </c>
      <c r="L22" s="87" t="n">
        <f aca="false">IFERROR($B$4*(1+$B$5*$B$8)^11/$B$10,0)</f>
        <v>90549531.8823552</v>
      </c>
    </row>
    <row r="23" customFormat="false" ht="15" hidden="false" customHeight="true" outlineLevel="0" collapsed="false">
      <c r="A23" s="84" t="s">
        <v>197</v>
      </c>
      <c r="B23" s="88" t="n">
        <f aca="false">IFERROR($B$4*(1+$B$6*$B$8)^1/$B$11,0)</f>
        <v>6928168.57808858</v>
      </c>
      <c r="C23" s="88" t="n">
        <f aca="false">IFERROR($B$4*(1+$B$6*$B$8)^2/$B$11,0)</f>
        <v>6929568.20810435</v>
      </c>
      <c r="D23" s="88" t="n">
        <f aca="false">IFERROR($B$4*(1+$B$6*$B$8)^3/$B$11,0)</f>
        <v>6930968.12087367</v>
      </c>
      <c r="E23" s="88" t="n">
        <f aca="false">IFERROR($B$4*(1+$B$6*$B$8)^4/$B$11,0)</f>
        <v>6932368.31645364</v>
      </c>
      <c r="F23" s="88" t="n">
        <f aca="false">IFERROR($B$4*(1+$B$6*$B$8)^5/$B$11,0)</f>
        <v>6933768.79490141</v>
      </c>
      <c r="G23" s="88" t="n">
        <f aca="false">IFERROR($B$4*(1+$B$6*$B$8)^6/$B$11,0)</f>
        <v>6935169.55627411</v>
      </c>
      <c r="H23" s="88" t="n">
        <f aca="false">IFERROR($B$4*(1+$B$6*$B$8)^7/$B$11,0)</f>
        <v>6936570.60062891</v>
      </c>
      <c r="I23" s="88" t="n">
        <f aca="false">IFERROR($B$4*(1+$B$6*$B$8)^8/$B$11,0)</f>
        <v>6937971.92802298</v>
      </c>
      <c r="J23" s="88" t="n">
        <f aca="false">IFERROR($B$4*(1+$B$6*$B$8)^9/$B$11,0)</f>
        <v>6939373.53851349</v>
      </c>
      <c r="K23" s="88" t="n">
        <f aca="false">IFERROR($B$4*(1+$B$6*$B$8)^10/$B$11,0)</f>
        <v>6940775.43215763</v>
      </c>
      <c r="L23" s="88" t="n">
        <f aca="false">IFERROR($B$4*(1+$B$6*$B$8)^11/$B$11,0)</f>
        <v>6942177.60901261</v>
      </c>
    </row>
    <row r="24" customFormat="false" ht="15" hidden="false" customHeight="true" outlineLevel="0" collapsed="false">
      <c r="A24" s="86" t="s">
        <v>198</v>
      </c>
      <c r="B24" s="87" t="n">
        <f aca="false">IFERROR($B$4*(1+$B$7*$B$8)^1/$B$12,0)</f>
        <v>5631979.39393939</v>
      </c>
      <c r="C24" s="87" t="n">
        <f aca="false">IFERROR($B$4*(1+$B$7*$B$8)^2/$B$12,0)</f>
        <v>5635961.60159167</v>
      </c>
      <c r="D24" s="87" t="n">
        <f aca="false">IFERROR($B$4*(1+$B$7*$B$8)^3/$B$12,0)</f>
        <v>5639946.62494633</v>
      </c>
      <c r="E24" s="87" t="n">
        <f aca="false">IFERROR($B$4*(1+$B$7*$B$8)^4/$B$12,0)</f>
        <v>5643934.46599428</v>
      </c>
      <c r="F24" s="87" t="n">
        <f aca="false">IFERROR($B$4*(1+$B$7*$B$8)^5/$B$12,0)</f>
        <v>5647925.12672781</v>
      </c>
      <c r="G24" s="87" t="n">
        <f aca="false">IFERROR($B$4*(1+$B$7*$B$8)^6/$B$12,0)</f>
        <v>5651918.60914065</v>
      </c>
      <c r="H24" s="87" t="n">
        <f aca="false">IFERROR($B$4*(1+$B$7*$B$8)^7/$B$12,0)</f>
        <v>5655914.91522792</v>
      </c>
      <c r="I24" s="87" t="n">
        <f aca="false">IFERROR($B$4*(1+$B$7*$B$8)^8/$B$12,0)</f>
        <v>5659914.04698616</v>
      </c>
      <c r="J24" s="87" t="n">
        <f aca="false">IFERROR($B$4*(1+$B$7*$B$8)^9/$B$12,0)</f>
        <v>5663916.00641332</v>
      </c>
      <c r="K24" s="87" t="n">
        <f aca="false">IFERROR($B$4*(1+$B$7*$B$8)^10/$B$12,0)</f>
        <v>5667920.79550876</v>
      </c>
      <c r="L24" s="87" t="n">
        <f aca="false">IFERROR($B$4*(1+$B$7*$B$8)^11/$B$12,0)</f>
        <v>5671928.41627326</v>
      </c>
    </row>
  </sheetData>
  <mergeCells count="2">
    <mergeCell ref="A1:M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</cols>
  <sheetData>
    <row r="1" customFormat="false" ht="27.75" hidden="false" customHeight="true" outlineLevel="0" collapsed="false">
      <c r="A1" s="25" t="s">
        <v>199</v>
      </c>
      <c r="B1" s="25"/>
      <c r="C1" s="25"/>
      <c r="D1" s="25"/>
      <c r="E1" s="25"/>
      <c r="F1" s="25"/>
    </row>
    <row r="3" customFormat="false" ht="19.5" hidden="false" customHeight="true" outlineLevel="0" collapsed="false">
      <c r="A3" s="78" t="s">
        <v>200</v>
      </c>
      <c r="B3" s="78"/>
      <c r="C3" s="78"/>
      <c r="D3" s="78"/>
      <c r="E3" s="78"/>
      <c r="F3" s="78"/>
    </row>
    <row r="4" customFormat="false" ht="15.75" hidden="false" customHeight="true" outlineLevel="0" collapsed="false">
      <c r="A4" s="90" t="s">
        <v>201</v>
      </c>
      <c r="B4" s="91" t="s">
        <v>202</v>
      </c>
      <c r="C4" s="91"/>
      <c r="D4" s="91"/>
      <c r="E4" s="91"/>
      <c r="F4" s="91"/>
    </row>
    <row r="5" customFormat="false" ht="15.75" hidden="false" customHeight="true" outlineLevel="0" collapsed="false">
      <c r="A5" s="92" t="s">
        <v>203</v>
      </c>
      <c r="B5" s="93" t="s">
        <v>204</v>
      </c>
      <c r="C5" s="93"/>
      <c r="D5" s="93"/>
      <c r="E5" s="93"/>
      <c r="F5" s="93"/>
    </row>
    <row r="6" customFormat="false" ht="15.75" hidden="false" customHeight="true" outlineLevel="0" collapsed="false">
      <c r="A6" s="90" t="s">
        <v>205</v>
      </c>
      <c r="B6" s="91" t="s">
        <v>206</v>
      </c>
      <c r="C6" s="91"/>
      <c r="D6" s="91"/>
      <c r="E6" s="91"/>
      <c r="F6" s="91"/>
    </row>
    <row r="7" customFormat="false" ht="15.75" hidden="false" customHeight="true" outlineLevel="0" collapsed="false">
      <c r="A7" s="92" t="s">
        <v>207</v>
      </c>
      <c r="B7" s="93" t="s">
        <v>208</v>
      </c>
      <c r="C7" s="93"/>
      <c r="D7" s="93"/>
      <c r="E7" s="93"/>
      <c r="F7" s="93"/>
    </row>
    <row r="8" customFormat="false" ht="7.5" hidden="false" customHeight="true" outlineLevel="0" collapsed="false"/>
    <row r="9" customFormat="false" ht="19.5" hidden="false" customHeight="true" outlineLevel="0" collapsed="false">
      <c r="A9" s="78" t="s">
        <v>209</v>
      </c>
      <c r="B9" s="78"/>
      <c r="C9" s="78"/>
      <c r="D9" s="78"/>
      <c r="E9" s="78"/>
      <c r="F9" s="78"/>
    </row>
    <row r="10" customFormat="false" ht="15.75" hidden="false" customHeight="true" outlineLevel="0" collapsed="false">
      <c r="A10" s="90" t="s">
        <v>210</v>
      </c>
      <c r="B10" s="91" t="s">
        <v>211</v>
      </c>
      <c r="C10" s="91"/>
      <c r="D10" s="91"/>
      <c r="E10" s="91"/>
      <c r="F10" s="91"/>
    </row>
    <row r="11" customFormat="false" ht="15.75" hidden="false" customHeight="true" outlineLevel="0" collapsed="false">
      <c r="A11" s="92" t="s">
        <v>212</v>
      </c>
      <c r="B11" s="93" t="s">
        <v>213</v>
      </c>
      <c r="C11" s="93"/>
      <c r="D11" s="93"/>
      <c r="E11" s="93"/>
      <c r="F11" s="93"/>
    </row>
    <row r="12" customFormat="false" ht="15.75" hidden="false" customHeight="true" outlineLevel="0" collapsed="false">
      <c r="A12" s="90" t="s">
        <v>214</v>
      </c>
      <c r="B12" s="91" t="s">
        <v>215</v>
      </c>
      <c r="C12" s="91"/>
      <c r="D12" s="91"/>
      <c r="E12" s="91"/>
      <c r="F12" s="91"/>
    </row>
    <row r="13" customFormat="false" ht="15.75" hidden="false" customHeight="true" outlineLevel="0" collapsed="false">
      <c r="A13" s="92" t="s">
        <v>216</v>
      </c>
      <c r="B13" s="93" t="s">
        <v>217</v>
      </c>
      <c r="C13" s="93"/>
      <c r="D13" s="93"/>
      <c r="E13" s="93"/>
      <c r="F13" s="93"/>
    </row>
    <row r="14" customFormat="false" ht="15.75" hidden="false" customHeight="true" outlineLevel="0" collapsed="false">
      <c r="A14" s="90" t="s">
        <v>218</v>
      </c>
      <c r="B14" s="91" t="s">
        <v>219</v>
      </c>
      <c r="C14" s="91"/>
      <c r="D14" s="91"/>
      <c r="E14" s="91"/>
      <c r="F14" s="91"/>
    </row>
    <row r="15" customFormat="false" ht="7.5" hidden="false" customHeight="true" outlineLevel="0" collapsed="false"/>
    <row r="16" customFormat="false" ht="19.5" hidden="false" customHeight="true" outlineLevel="0" collapsed="false">
      <c r="A16" s="78" t="s">
        <v>220</v>
      </c>
      <c r="B16" s="78"/>
      <c r="C16" s="78"/>
      <c r="D16" s="78"/>
      <c r="E16" s="78"/>
      <c r="F16" s="78"/>
    </row>
    <row r="17" customFormat="false" ht="15.75" hidden="false" customHeight="true" outlineLevel="0" collapsed="false">
      <c r="A17" s="92" t="s">
        <v>56</v>
      </c>
      <c r="B17" s="93" t="s">
        <v>221</v>
      </c>
      <c r="C17" s="93"/>
      <c r="D17" s="93"/>
      <c r="E17" s="93"/>
      <c r="F17" s="93"/>
    </row>
    <row r="18" customFormat="false" ht="15.75" hidden="false" customHeight="true" outlineLevel="0" collapsed="false">
      <c r="A18" s="90" t="s">
        <v>59</v>
      </c>
      <c r="B18" s="91" t="s">
        <v>222</v>
      </c>
      <c r="C18" s="91"/>
      <c r="D18" s="91"/>
      <c r="E18" s="91"/>
      <c r="F18" s="91"/>
    </row>
    <row r="19" customFormat="false" ht="15.75" hidden="false" customHeight="true" outlineLevel="0" collapsed="false">
      <c r="A19" s="92" t="s">
        <v>223</v>
      </c>
      <c r="B19" s="93" t="s">
        <v>224</v>
      </c>
      <c r="C19" s="93"/>
      <c r="D19" s="93"/>
      <c r="E19" s="93"/>
      <c r="F19" s="93"/>
    </row>
    <row r="20" customFormat="false" ht="15.75" hidden="false" customHeight="true" outlineLevel="0" collapsed="false">
      <c r="A20" s="90" t="s">
        <v>225</v>
      </c>
      <c r="B20" s="91" t="s">
        <v>226</v>
      </c>
      <c r="C20" s="91"/>
      <c r="D20" s="91"/>
      <c r="E20" s="91"/>
      <c r="F20" s="91"/>
    </row>
    <row r="21" customFormat="false" ht="15.75" hidden="false" customHeight="true" outlineLevel="0" collapsed="false">
      <c r="A21" s="92" t="s">
        <v>227</v>
      </c>
      <c r="B21" s="93" t="s">
        <v>228</v>
      </c>
      <c r="C21" s="93"/>
      <c r="D21" s="93"/>
      <c r="E21" s="93"/>
      <c r="F21" s="93"/>
    </row>
    <row r="22" customFormat="false" ht="15.75" hidden="false" customHeight="true" outlineLevel="0" collapsed="false">
      <c r="A22" s="90" t="s">
        <v>229</v>
      </c>
      <c r="B22" s="91" t="s">
        <v>230</v>
      </c>
      <c r="C22" s="91"/>
      <c r="D22" s="91"/>
      <c r="E22" s="91"/>
      <c r="F22" s="91"/>
    </row>
    <row r="23" customFormat="false" ht="15.75" hidden="false" customHeight="true" outlineLevel="0" collapsed="false">
      <c r="A23" s="92" t="s">
        <v>231</v>
      </c>
      <c r="B23" s="93" t="s">
        <v>232</v>
      </c>
      <c r="C23" s="93"/>
      <c r="D23" s="93"/>
      <c r="E23" s="93"/>
      <c r="F23" s="93"/>
    </row>
    <row r="24" customFormat="false" ht="15.75" hidden="false" customHeight="true" outlineLevel="0" collapsed="false">
      <c r="A24" s="90" t="s">
        <v>233</v>
      </c>
      <c r="B24" s="91" t="s">
        <v>234</v>
      </c>
      <c r="C24" s="91"/>
      <c r="D24" s="91"/>
      <c r="E24" s="91"/>
      <c r="F24" s="91"/>
    </row>
    <row r="25" customFormat="false" ht="15.75" hidden="false" customHeight="true" outlineLevel="0" collapsed="false">
      <c r="A25" s="92" t="s">
        <v>235</v>
      </c>
      <c r="B25" s="93" t="s">
        <v>236</v>
      </c>
      <c r="C25" s="93"/>
      <c r="D25" s="93"/>
      <c r="E25" s="93"/>
      <c r="F25" s="93"/>
    </row>
    <row r="26" customFormat="false" ht="7.5" hidden="false" customHeight="true" outlineLevel="0" collapsed="false"/>
    <row r="27" customFormat="false" ht="19.5" hidden="false" customHeight="true" outlineLevel="0" collapsed="false">
      <c r="A27" s="78" t="s">
        <v>237</v>
      </c>
      <c r="B27" s="78"/>
      <c r="C27" s="78"/>
      <c r="D27" s="78"/>
      <c r="E27" s="78"/>
      <c r="F27" s="78"/>
    </row>
    <row r="28" customFormat="false" ht="15.75" hidden="false" customHeight="true" outlineLevel="0" collapsed="false">
      <c r="A28" s="90" t="s">
        <v>238</v>
      </c>
      <c r="B28" s="91" t="s">
        <v>239</v>
      </c>
      <c r="C28" s="91"/>
      <c r="D28" s="91"/>
      <c r="E28" s="91"/>
      <c r="F28" s="91"/>
    </row>
    <row r="29" customFormat="false" ht="15.75" hidden="false" customHeight="true" outlineLevel="0" collapsed="false">
      <c r="A29" s="92" t="s">
        <v>240</v>
      </c>
      <c r="B29" s="93" t="s">
        <v>241</v>
      </c>
      <c r="C29" s="93"/>
      <c r="D29" s="93"/>
      <c r="E29" s="93"/>
      <c r="F29" s="93"/>
    </row>
    <row r="30" customFormat="false" ht="15.75" hidden="false" customHeight="true" outlineLevel="0" collapsed="false">
      <c r="A30" s="90" t="s">
        <v>242</v>
      </c>
      <c r="B30" s="91" t="s">
        <v>243</v>
      </c>
      <c r="C30" s="91"/>
      <c r="D30" s="91"/>
      <c r="E30" s="91"/>
      <c r="F30" s="91"/>
    </row>
    <row r="31" customFormat="false" ht="15.75" hidden="false" customHeight="true" outlineLevel="0" collapsed="false">
      <c r="A31" s="92" t="s">
        <v>244</v>
      </c>
      <c r="B31" s="93" t="s">
        <v>245</v>
      </c>
      <c r="C31" s="93"/>
      <c r="D31" s="93"/>
      <c r="E31" s="93"/>
      <c r="F31" s="93"/>
    </row>
    <row r="32" customFormat="false" ht="15.75" hidden="false" customHeight="true" outlineLevel="0" collapsed="false">
      <c r="A32" s="90" t="s">
        <v>246</v>
      </c>
      <c r="B32" s="91" t="s">
        <v>247</v>
      </c>
      <c r="C32" s="91"/>
      <c r="D32" s="91"/>
      <c r="E32" s="91"/>
      <c r="F32" s="91"/>
    </row>
  </sheetData>
  <mergeCells count="28">
    <mergeCell ref="A1:F1"/>
    <mergeCell ref="A3:F3"/>
    <mergeCell ref="B4:F4"/>
    <mergeCell ref="B5:F5"/>
    <mergeCell ref="B6:F6"/>
    <mergeCell ref="B7:F7"/>
    <mergeCell ref="A9:F9"/>
    <mergeCell ref="B10:F10"/>
    <mergeCell ref="B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A27:F27"/>
    <mergeCell ref="B28:F28"/>
    <mergeCell ref="B29:F29"/>
    <mergeCell ref="B30:F30"/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2026-03-15T19:07:14Z</dcterms:created>
  <dc:creator>openpyxl</dc:creator>
  <dc:description/>
  <dc:language>en-US</dc:language>
  <cp:lastModifiedBy/>
  <dcterms:modified xsi:type="dcterms:W3CDTF">2026-03-15T20:30:37Z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