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Lidl Markt Leipzig-Lausen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Georg-Schumann-Strasse 48</t>
        </is>
      </c>
    </row>
    <row r="7" ht="18" customHeight="1" s="95">
      <c r="A7" s="99" t="inlineStr">
        <is>
          <t>City / Bundesland</t>
        </is>
      </c>
      <c r="B7" s="102" t="inlineStr">
        <is>
          <t>Leipzig / Sachsen</t>
        </is>
      </c>
    </row>
    <row r="8" ht="18" customHeight="1" s="95">
      <c r="A8" s="99" t="inlineStr">
        <is>
          <t>Asset Type</t>
        </is>
      </c>
      <c r="B8" s="102" t="inlineStr">
        <is>
          <t>Lebensmittelmarkt (Discounter)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1750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2015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90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4000000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1600000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Lidl Vertriebs-GmbH &amp; Co.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1300</v>
      </c>
      <c r="F4" s="125" t="n">
        <v>9</v>
      </c>
      <c r="G4" s="126">
        <f>IFERROR(E4*F4*12,0)</f>
        <v/>
      </c>
      <c r="H4" s="127" t="n">
        <v>43101</v>
      </c>
      <c r="I4" s="127" t="n">
        <v>48944</v>
      </c>
      <c r="J4" s="127" t="n">
        <v>46752</v>
      </c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11700</v>
      </c>
      <c r="P4" s="122" t="inlineStr">
        <is>
          <t>Y</t>
        </is>
      </c>
      <c r="Q4" s="130" t="n">
        <v>0</v>
      </c>
      <c r="R4" s="123" t="inlineStr">
        <is>
          <t>BREAK OPTION Dec-2027 — 2.5yr to break. Effective WAULT 2.5yr.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450</v>
      </c>
      <c r="F5" s="134" t="n">
        <v>15.5</v>
      </c>
      <c r="G5" s="126">
        <f>IFERROR(E5*F5*12,0)</f>
        <v/>
      </c>
      <c r="H5" s="135" t="n">
        <v>44378</v>
      </c>
      <c r="I5" s="135" t="n">
        <v>48029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7750</v>
      </c>
      <c r="P5" s="131" t="inlineStr">
        <is>
          <t>Y</t>
        </is>
      </c>
      <c r="Q5" s="138" t="n">
        <v>0</v>
      </c>
      <c r="R5" s="132" t="inlineStr">
        <is>
          <t>6yr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