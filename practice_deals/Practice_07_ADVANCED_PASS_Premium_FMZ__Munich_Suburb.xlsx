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Fachmarktzentrum Munich-Pasing Arcaden Umfeld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Bäckerstrasse 3</t>
        </is>
      </c>
    </row>
    <row r="7" ht="18" customHeight="1" s="95">
      <c r="A7" s="99" t="inlineStr">
        <is>
          <t>City / Bundesland</t>
        </is>
      </c>
      <c r="B7" s="102" t="inlineStr">
        <is>
          <t>Munich / Bayern</t>
        </is>
      </c>
    </row>
    <row r="8" ht="18" customHeight="1" s="95">
      <c r="A8" s="99" t="inlineStr">
        <is>
          <t>Asset Type</t>
        </is>
      </c>
      <c r="B8" s="102" t="inlineStr">
        <is>
          <t>Fachmarktzentrum (Prime)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5550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2018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220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15500000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6200000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0.035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Edeka Minden-Hannover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3500</v>
      </c>
      <c r="F4" s="125" t="n">
        <v>12.5</v>
      </c>
      <c r="G4" s="126">
        <f>IFERROR(E4*F4*12,0)</f>
        <v/>
      </c>
      <c r="H4" s="127" t="n">
        <v>43647</v>
      </c>
      <c r="I4" s="127" t="n">
        <v>49125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39375</v>
      </c>
      <c r="P4" s="122" t="inlineStr">
        <is>
          <t>Y</t>
        </is>
      </c>
      <c r="Q4" s="130" t="n">
        <v>0</v>
      </c>
      <c r="R4" s="123" t="inlineStr">
        <is>
          <t>Prime anchor — 9yr remaining</t>
        </is>
      </c>
    </row>
    <row r="5" ht="15" customHeight="1" s="95">
      <c r="A5" s="131" t="inlineStr">
        <is>
          <t>U-02</t>
        </is>
      </c>
      <c r="B5" s="132" t="inlineStr">
        <is>
          <t>dm-drogerie markt</t>
        </is>
      </c>
      <c r="C5" s="132" t="inlineStr">
        <is>
          <t>Health &amp; Beauty</t>
        </is>
      </c>
      <c r="D5" s="131" t="inlineStr">
        <is>
          <t>N</t>
        </is>
      </c>
      <c r="E5" s="133" t="n">
        <v>700</v>
      </c>
      <c r="F5" s="134" t="n">
        <v>17.5</v>
      </c>
      <c r="G5" s="126">
        <f>IFERROR(E5*F5*12,0)</f>
        <v/>
      </c>
      <c r="H5" s="135" t="n">
        <v>43466</v>
      </c>
      <c r="I5" s="135" t="n">
        <v>48944</v>
      </c>
      <c r="J5" s="135" t="n"/>
      <c r="K5" s="136">
        <f>IFERROR(IF(B5="VACANT",0,(I5-TODAY())/365.25),0)</f>
        <v/>
      </c>
      <c r="L5" s="131" t="inlineStr">
        <is>
          <t>Y</t>
        </is>
      </c>
      <c r="M5" s="137" t="n">
        <v>1</v>
      </c>
      <c r="N5" s="137" t="n">
        <v>0.1</v>
      </c>
      <c r="O5" s="133" t="n">
        <v>12250</v>
      </c>
      <c r="P5" s="131" t="inlineStr">
        <is>
          <t>Y</t>
        </is>
      </c>
      <c r="Q5" s="138" t="n">
        <v>0</v>
      </c>
      <c r="R5" s="132" t="inlineStr">
        <is>
          <t>8.5yr remaining</t>
        </is>
      </c>
    </row>
    <row r="6" ht="15" customHeight="1" s="95">
      <c r="A6" s="122" t="inlineStr">
        <is>
          <t>U-03</t>
        </is>
      </c>
      <c r="B6" s="123" t="inlineStr">
        <is>
          <t>Rossmann GmbH</t>
        </is>
      </c>
      <c r="C6" s="123" t="inlineStr">
        <is>
          <t>Health &amp; Beauty</t>
        </is>
      </c>
      <c r="D6" s="122" t="inlineStr">
        <is>
          <t>N</t>
        </is>
      </c>
      <c r="E6" s="124" t="n">
        <v>400</v>
      </c>
      <c r="F6" s="125" t="n">
        <v>15</v>
      </c>
      <c r="G6" s="126">
        <f>IFERROR(E6*F6*12,0)</f>
        <v/>
      </c>
      <c r="H6" s="127" t="n">
        <v>43831</v>
      </c>
      <c r="I6" s="127" t="n">
        <v>48579</v>
      </c>
      <c r="J6" s="127" t="n"/>
      <c r="K6" s="128">
        <f>IFERROR(IF(B6="VACANT",0,(I6-TODAY())/365.25),0)</f>
        <v/>
      </c>
      <c r="L6" s="122" t="inlineStr">
        <is>
          <t>Y</t>
        </is>
      </c>
      <c r="M6" s="129" t="n">
        <v>1</v>
      </c>
      <c r="N6" s="129" t="n">
        <v>0.1</v>
      </c>
      <c r="O6" s="124" t="n">
        <v>6000</v>
      </c>
      <c r="P6" s="122" t="inlineStr">
        <is>
          <t>Y</t>
        </is>
      </c>
      <c r="Q6" s="130" t="n">
        <v>0</v>
      </c>
      <c r="R6" s="123" t="inlineStr">
        <is>
          <t>7.5yr remaining</t>
        </is>
      </c>
    </row>
    <row r="7" ht="15" customHeight="1" s="95">
      <c r="A7" s="131" t="inlineStr">
        <is>
          <t>U-04</t>
        </is>
      </c>
      <c r="B7" s="132" t="inlineStr">
        <is>
          <t>Action Deutschland GmbH</t>
        </is>
      </c>
      <c r="C7" s="132" t="inlineStr">
        <is>
          <t>Non-Food Variety</t>
        </is>
      </c>
      <c r="D7" s="131" t="inlineStr">
        <is>
          <t>N</t>
        </is>
      </c>
      <c r="E7" s="133" t="n">
        <v>600</v>
      </c>
      <c r="F7" s="134" t="n">
        <v>11</v>
      </c>
      <c r="G7" s="126">
        <f>IFERROR(E7*F7*12,0)</f>
        <v/>
      </c>
      <c r="H7" s="135" t="n">
        <v>43647</v>
      </c>
      <c r="I7" s="135" t="n">
        <v>48029</v>
      </c>
      <c r="J7" s="135" t="n"/>
      <c r="K7" s="136">
        <f>IFERROR(IF(B7="VACANT",0,(I7-TODAY())/365.25),0)</f>
        <v/>
      </c>
      <c r="L7" s="131" t="inlineStr">
        <is>
          <t>Y</t>
        </is>
      </c>
      <c r="M7" s="137" t="n">
        <v>1</v>
      </c>
      <c r="N7" s="137" t="n">
        <v>0.1</v>
      </c>
      <c r="O7" s="133" t="n">
        <v>6600</v>
      </c>
      <c r="P7" s="131" t="inlineStr">
        <is>
          <t>Y</t>
        </is>
      </c>
      <c r="Q7" s="138" t="n">
        <v>0</v>
      </c>
      <c r="R7" s="132" t="inlineStr">
        <is>
          <t>6yr remaining</t>
        </is>
      </c>
    </row>
    <row r="8" ht="15" customHeight="1" s="95">
      <c r="A8" s="122" t="inlineStr">
        <is>
          <t>U-05</t>
        </is>
      </c>
      <c r="B8" s="123" t="inlineStr">
        <is>
          <t>Fressnapf Tiernahrungs GmbH</t>
        </is>
      </c>
      <c r="C8" s="123" t="inlineStr">
        <is>
          <t>Pet Retail</t>
        </is>
      </c>
      <c r="D8" s="122" t="inlineStr">
        <is>
          <t>N</t>
        </is>
      </c>
      <c r="E8" s="124" t="n">
        <v>350</v>
      </c>
      <c r="F8" s="125" t="n">
        <v>13</v>
      </c>
      <c r="G8" s="126">
        <f>IFERROR(E8*F8*12,0)</f>
        <v/>
      </c>
      <c r="H8" s="127" t="n">
        <v>43831</v>
      </c>
      <c r="I8" s="127" t="n">
        <v>47848</v>
      </c>
      <c r="J8" s="127" t="n"/>
      <c r="K8" s="128">
        <f>IFERROR(IF(B8="VACANT",0,(I8-TODAY())/365.25),0)</f>
        <v/>
      </c>
      <c r="L8" s="122" t="inlineStr">
        <is>
          <t>Y</t>
        </is>
      </c>
      <c r="M8" s="129" t="n">
        <v>1</v>
      </c>
      <c r="N8" s="129" t="n">
        <v>0.1</v>
      </c>
      <c r="O8" s="124" t="n">
        <v>4550</v>
      </c>
      <c r="P8" s="122" t="inlineStr">
        <is>
          <t>Y</t>
        </is>
      </c>
      <c r="Q8" s="130" t="n">
        <v>0</v>
      </c>
      <c r="R8" s="123" t="inlineStr">
        <is>
          <t>5.5yr remaining</t>
        </is>
      </c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0.005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2.2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4.5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0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0.03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1500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2026-05-29T10:25:55Z</dcterms:modified>
  <cp:revision>0</cp:revision>
</cp:coreProperties>
</file>