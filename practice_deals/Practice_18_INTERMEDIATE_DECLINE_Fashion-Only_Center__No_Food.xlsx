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Stadtpassage Magdeburg-Sudenburg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Halberstädter Strasse 66</t>
        </is>
      </c>
    </row>
    <row r="7" ht="18" customHeight="1" s="95">
      <c r="A7" s="99" t="inlineStr">
        <is>
          <t>City / Bundesland</t>
        </is>
      </c>
      <c r="B7" s="102" t="inlineStr">
        <is>
          <t>Magdeburg / Sachsen-Anhalt</t>
        </is>
      </c>
    </row>
    <row r="8" ht="18" customHeight="1" s="95">
      <c r="A8" s="99" t="inlineStr">
        <is>
          <t>Asset Type</t>
        </is>
      </c>
      <c r="B8" s="102" t="inlineStr">
        <is>
          <t>Nahversorgungszentrum (distressed)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3100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2002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60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4000000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1200000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Takko Fashion</t>
        </is>
      </c>
      <c r="C4" s="123" t="inlineStr">
        <is>
          <t>Discount Fashion</t>
        </is>
      </c>
      <c r="D4" s="122" t="inlineStr">
        <is>
          <t>N</t>
        </is>
      </c>
      <c r="E4" s="124" t="n">
        <v>1200</v>
      </c>
      <c r="F4" s="125" t="n">
        <v>7</v>
      </c>
      <c r="G4" s="126">
        <f>IFERROR(E4*F4*12,0)</f>
        <v/>
      </c>
      <c r="H4" s="127" t="n">
        <v>44743</v>
      </c>
      <c r="I4" s="127" t="n">
        <v>46934</v>
      </c>
      <c r="J4" s="127" t="n"/>
      <c r="K4" s="128">
        <f>IFERROR(IF(B4="VACANT",0,(I4-TODAY())/365.25),0)</f>
        <v/>
      </c>
      <c r="L4" s="122" t="inlineStr">
        <is>
          <t>N</t>
        </is>
      </c>
      <c r="M4" s="129" t="n">
        <v>0</v>
      </c>
      <c r="N4" s="129" t="n">
        <v>0</v>
      </c>
      <c r="O4" s="124" t="n">
        <v>8400</v>
      </c>
      <c r="P4" s="122" t="inlineStr">
        <is>
          <t>N</t>
        </is>
      </c>
      <c r="Q4" s="130" t="n">
        <v>0</v>
      </c>
      <c r="R4" s="123" t="inlineStr">
        <is>
          <t>3yr remaining — Takko covenant risk</t>
        </is>
      </c>
    </row>
    <row r="5" ht="15" customHeight="1" s="95">
      <c r="A5" s="131" t="inlineStr">
        <is>
          <t>U-02</t>
        </is>
      </c>
      <c r="B5" s="132" t="inlineStr">
        <is>
          <t>NKD Vertriebs GmbH</t>
        </is>
      </c>
      <c r="C5" s="132" t="inlineStr">
        <is>
          <t>Discount Fashion</t>
        </is>
      </c>
      <c r="D5" s="131" t="inlineStr">
        <is>
          <t>N</t>
        </is>
      </c>
      <c r="E5" s="133" t="n">
        <v>600</v>
      </c>
      <c r="F5" s="134" t="n">
        <v>6.5</v>
      </c>
      <c r="G5" s="126">
        <f>IFERROR(E5*F5*12,0)</f>
        <v/>
      </c>
      <c r="H5" s="135" t="n">
        <v>44562</v>
      </c>
      <c r="I5" s="135" t="n">
        <v>46752</v>
      </c>
      <c r="J5" s="135" t="n"/>
      <c r="K5" s="136">
        <f>IFERROR(IF(B5="VACANT",0,(I5-TODAY())/365.25),0)</f>
        <v/>
      </c>
      <c r="L5" s="131" t="inlineStr">
        <is>
          <t>N</t>
        </is>
      </c>
      <c r="M5" s="137" t="n">
        <v>0</v>
      </c>
      <c r="N5" s="137" t="n">
        <v>0</v>
      </c>
      <c r="O5" s="133" t="n">
        <v>3900</v>
      </c>
      <c r="P5" s="131" t="inlineStr">
        <is>
          <t>N</t>
        </is>
      </c>
      <c r="Q5" s="138" t="n">
        <v>0</v>
      </c>
      <c r="R5" s="132" t="inlineStr">
        <is>
          <t>2.5yr remaining</t>
        </is>
      </c>
    </row>
    <row r="6" ht="15" customHeight="1" s="95">
      <c r="A6" s="122" t="inlineStr">
        <is>
          <t>U-03</t>
        </is>
      </c>
      <c r="B6" s="123" t="inlineStr">
        <is>
          <t>TEDi GmbH &amp; Co. KG</t>
        </is>
      </c>
      <c r="C6" s="123" t="inlineStr">
        <is>
          <t>Non-Food Variety</t>
        </is>
      </c>
      <c r="D6" s="122" t="inlineStr">
        <is>
          <t>N</t>
        </is>
      </c>
      <c r="E6" s="124" t="n">
        <v>500</v>
      </c>
      <c r="F6" s="125" t="n">
        <v>7</v>
      </c>
      <c r="G6" s="126">
        <f>IFERROR(E6*F6*12,0)</f>
        <v/>
      </c>
      <c r="H6" s="127" t="n">
        <v>44743</v>
      </c>
      <c r="I6" s="127" t="n">
        <v>46568</v>
      </c>
      <c r="J6" s="127" t="n"/>
      <c r="K6" s="128">
        <f>IFERROR(IF(B6="VACANT",0,(I6-TODAY())/365.25),0)</f>
        <v/>
      </c>
      <c r="L6" s="122" t="inlineStr">
        <is>
          <t>N</t>
        </is>
      </c>
      <c r="M6" s="129" t="n">
        <v>0</v>
      </c>
      <c r="N6" s="129" t="n">
        <v>0</v>
      </c>
      <c r="O6" s="124" t="n">
        <v>3500</v>
      </c>
      <c r="P6" s="122" t="inlineStr">
        <is>
          <t>N</t>
        </is>
      </c>
      <c r="Q6" s="130" t="n">
        <v>0</v>
      </c>
      <c r="R6" s="123" t="inlineStr">
        <is>
          <t>2yr remaining</t>
        </is>
      </c>
    </row>
    <row r="7" ht="15" customHeight="1" s="95">
      <c r="A7" s="131" t="inlineStr">
        <is>
          <t>U-04</t>
        </is>
      </c>
      <c r="B7" s="132" t="inlineStr">
        <is>
          <t>VACANT</t>
        </is>
      </c>
      <c r="C7" s="132" t="inlineStr">
        <is>
          <t>—</t>
        </is>
      </c>
      <c r="D7" s="131" t="inlineStr">
        <is>
          <t>N</t>
        </is>
      </c>
      <c r="E7" s="133" t="n">
        <v>800</v>
      </c>
      <c r="F7" s="134" t="n">
        <v>0</v>
      </c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inlineStr">
        <is>
          <t>N</t>
        </is>
      </c>
      <c r="M7" s="137" t="n">
        <v>0</v>
      </c>
      <c r="N7" s="137" t="n">
        <v>0</v>
      </c>
      <c r="O7" s="133" t="n">
        <v>0</v>
      </c>
      <c r="P7" s="131" t="inlineStr">
        <is>
          <t>N</t>
        </is>
      </c>
      <c r="Q7" s="138" t="n">
        <v>0</v>
      </c>
      <c r="R7" s="132" t="inlineStr">
        <is>
          <t>Former food anchor departed — dark 18 months</t>
        </is>
      </c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0.025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0.008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3.5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10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5000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25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2.5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0.1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6000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2026-05-29T10:25:56Z</dcterms:modified>
  <cp:revision>0</cp:revision>
</cp:coreProperties>
</file>