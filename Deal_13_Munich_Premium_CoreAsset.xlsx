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al Overview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Cost Sheet" sheetId="3" state="visible" r:id="rId3"/>
    <sheet xmlns:r="http://schemas.openxmlformats.org/officeDocument/2006/relationships" name="CPI Projections" sheetId="4" state="visible" r:id="rId4"/>
    <sheet xmlns:r="http://schemas.openxmlformats.org/officeDocument/2006/relationships" name="Instruction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dd/mm/yyyy"/>
    <numFmt numFmtId="166" formatCode="0.0"/>
    <numFmt numFmtId="167" formatCode="0.000"/>
    <numFmt numFmtId="168" formatCode="yyyy-mm-dd"/>
  </numFmts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BFBFB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595959"/>
      <sz val="9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000FF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0000"/>
      <sz val="10"/>
    </font>
    <font>
      <name val="Arial"/>
      <charset val="1"/>
      <family val="0"/>
      <b val="1"/>
      <color rgb="FF00B050"/>
      <sz val="10"/>
    </font>
    <font>
      <name val="Arial"/>
      <charset val="1"/>
      <family val="0"/>
      <i val="1"/>
      <color rgb="FF595959"/>
      <sz val="8"/>
    </font>
    <font>
      <name val="Arial"/>
      <charset val="1"/>
      <family val="0"/>
      <color rgb="FF000000"/>
      <sz val="10"/>
    </font>
    <font>
      <name val="Arial"/>
      <charset val="1"/>
      <family val="0"/>
      <color rgb="FF00B050"/>
      <sz val="10"/>
    </font>
    <font>
      <name val="Arial"/>
      <charset val="1"/>
      <family val="0"/>
      <color rgb="FFFF0000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168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1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94" min="1" max="1"/>
    <col width="22" customWidth="1" style="94" min="2" max="2"/>
    <col width="28" customWidth="1" style="94" min="3" max="3"/>
    <col width="14" customWidth="1" style="94" min="4" max="4"/>
    <col width="40" customWidth="1" style="94" min="5" max="5"/>
    <col width="5" customWidth="1" style="94" min="6" max="6"/>
    <col width="40" customWidth="1" style="94" min="7" max="7"/>
  </cols>
  <sheetData>
    <row r="1" ht="31.5" customHeight="1" s="95">
      <c r="A1" s="96" t="inlineStr">
        <is>
          <t>INSTITUTIONAL RETAIL UNDERWRITER  |  DEAL OVERVIEW</t>
        </is>
      </c>
    </row>
    <row r="2" ht="15.75" customHeight="1" s="95">
      <c r="A2" s="97" t="inlineStr">
        <is>
          <t>German Commercial Real Estate  –  Investment Committee Template  |  v1.0</t>
        </is>
      </c>
    </row>
    <row r="4" ht="19.5" customHeight="1" s="95">
      <c r="A4" s="98" t="inlineStr">
        <is>
          <t xml:space="preserve">  A  |  PROPERTY IDENTITY</t>
        </is>
      </c>
    </row>
    <row r="5" ht="18" customHeight="1" s="95">
      <c r="A5" s="99" t="inlineStr">
        <is>
          <t>Property Name / Asset</t>
        </is>
      </c>
      <c r="B5" s="100" t="inlineStr">
        <is>
          <t>Germering Fachmarktzentrum Muenchen-West</t>
        </is>
      </c>
      <c r="G5" s="101" t="inlineStr">
        <is>
          <t>e.g. Stadtgalerie Kaufbeuren</t>
        </is>
      </c>
    </row>
    <row r="6" ht="18" customHeight="1" s="95">
      <c r="A6" s="99" t="inlineStr">
        <is>
          <t>Street Address</t>
        </is>
      </c>
      <c r="B6" s="102" t="inlineStr">
        <is>
          <t>Untere Bahnhofstrasse 38</t>
        </is>
      </c>
    </row>
    <row r="7" ht="18" customHeight="1" s="95">
      <c r="A7" s="99" t="inlineStr">
        <is>
          <t>City / Bundesland</t>
        </is>
      </c>
      <c r="B7" s="102" t="inlineStr">
        <is>
          <t>Germering / Bayern</t>
        </is>
      </c>
    </row>
    <row r="8" ht="18" customHeight="1" s="95">
      <c r="A8" s="99" t="inlineStr">
        <is>
          <t>Asset Type</t>
        </is>
      </c>
      <c r="B8" s="102" t="inlineStr">
        <is>
          <t>Fachmarktzentrum (Retail Park) — Core</t>
        </is>
      </c>
      <c r="G8" s="101" t="inlineStr">
        <is>
          <t>Shopping Centre / Retail Park / High-Street / Mixed</t>
        </is>
      </c>
    </row>
    <row r="9" ht="18" customHeight="1" s="95">
      <c r="A9" s="99" t="inlineStr">
        <is>
          <t>GLA – Gross Lettable Area (m²)</t>
        </is>
      </c>
      <c r="B9" s="100" t="n">
        <v>5200</v>
      </c>
      <c r="G9" s="101" t="inlineStr">
        <is>
          <t>Total lettable sqm incl. anchor</t>
        </is>
      </c>
    </row>
    <row r="10" ht="18" customHeight="1" s="95">
      <c r="A10" s="99" t="inlineStr">
        <is>
          <t>Year Built / Last Refurb</t>
        </is>
      </c>
      <c r="B10" s="102" t="n">
        <v>2016</v>
      </c>
    </row>
    <row r="11" ht="18" customHeight="1" s="95">
      <c r="A11" s="99" t="inlineStr">
        <is>
          <t>Number of Tenants</t>
        </is>
      </c>
      <c r="B11" s="102" t="n"/>
      <c r="G11" s="101">
        <f>COUNTA('Rent Roll'!B4:B103)</f>
        <v/>
      </c>
    </row>
    <row r="12" ht="18" customHeight="1" s="95">
      <c r="A12" s="99" t="inlineStr">
        <is>
          <t>Number of Floors</t>
        </is>
      </c>
      <c r="B12" s="102" t="n"/>
    </row>
    <row r="13" ht="18" customHeight="1" s="95">
      <c r="A13" s="99" t="inlineStr">
        <is>
          <t>Parking Spaces</t>
        </is>
      </c>
      <c r="B13" s="102" t="n">
        <v>230</v>
      </c>
    </row>
    <row r="15" ht="19.5" customHeight="1" s="95">
      <c r="A15" s="98" t="inlineStr">
        <is>
          <t xml:space="preserve">  B  |  TRANSACTION PARAMETERS</t>
        </is>
      </c>
    </row>
    <row r="16" ht="18" customHeight="1" s="95">
      <c r="A16" s="99" t="inlineStr">
        <is>
          <t>Asking Price (€)</t>
        </is>
      </c>
      <c r="B16" s="100" t="n">
        <v>14500000</v>
      </c>
      <c r="G16" s="101" t="inlineStr">
        <is>
          <t>Purchase price before costs</t>
        </is>
      </c>
    </row>
    <row r="17" ht="18" customHeight="1" s="95">
      <c r="A17" s="99" t="inlineStr">
        <is>
          <t>Equity Investment (€)</t>
        </is>
      </c>
      <c r="B17" s="102" t="n">
        <v>5600000</v>
      </c>
      <c r="G17" s="101" t="inlineStr">
        <is>
          <t>Own funds contributed</t>
        </is>
      </c>
    </row>
    <row r="18" ht="18" customHeight="1" s="95">
      <c r="A18" s="99" t="inlineStr">
        <is>
          <t>Senior Loan Amount (€)</t>
        </is>
      </c>
      <c r="B18" s="102" t="n"/>
      <c r="G18" s="101">
        <f>B16-B17</f>
        <v/>
      </c>
    </row>
    <row r="19" ht="18" customHeight="1" s="95">
      <c r="A19" s="99" t="inlineStr">
        <is>
          <t>LTV at Acquisition (%)</t>
        </is>
      </c>
      <c r="B19" s="102" t="n"/>
      <c r="G19" s="101">
        <f>IFERROR(B18/B16,"-")</f>
        <v/>
      </c>
    </row>
    <row r="20" ht="18" customHeight="1" s="95">
      <c r="A20" s="99" t="inlineStr">
        <is>
          <t>GrESt Rate (%)</t>
        </is>
      </c>
      <c r="B20" s="102" t="n">
        <v>0.035</v>
      </c>
      <c r="G20" s="101" t="inlineStr">
        <is>
          <t>3.5%–6.5% depending on Bundesland</t>
        </is>
      </c>
    </row>
    <row r="21" ht="18" customHeight="1" s="95">
      <c r="A21" s="99" t="inlineStr">
        <is>
          <t>Notar &amp; Grundbuch (%)</t>
        </is>
      </c>
      <c r="B21" s="102" t="n">
        <v>0.015</v>
      </c>
      <c r="G21" s="101" t="inlineStr">
        <is>
          <t>~1.5% typical</t>
        </is>
      </c>
    </row>
    <row r="22" ht="18" customHeight="1" s="95">
      <c r="A22" s="99" t="inlineStr">
        <is>
          <t>Broker Fee (%)</t>
        </is>
      </c>
      <c r="B22" s="102" t="n">
        <v>0.01</v>
      </c>
      <c r="G22" s="101" t="inlineStr">
        <is>
          <t>~1%–3%</t>
        </is>
      </c>
    </row>
    <row r="23" ht="18" customHeight="1" s="95">
      <c r="A23" s="99" t="inlineStr">
        <is>
          <t>Total Acquisition Cost (€)</t>
        </is>
      </c>
      <c r="B23" s="102" t="n"/>
      <c r="G23" s="101">
        <f>B16*(1+B20+B21+B22)</f>
        <v/>
      </c>
    </row>
    <row r="24" ht="18" customHeight="1" s="95">
      <c r="A24" s="99" t="inlineStr">
        <is>
          <t>Analysis Date</t>
        </is>
      </c>
      <c r="B24" s="103" t="n">
        <v>46103</v>
      </c>
    </row>
    <row r="25" ht="18" customHeight="1" s="95">
      <c r="A25" s="99" t="inlineStr">
        <is>
          <t>Target Hold Period (Years)</t>
        </is>
      </c>
      <c r="B25" s="102" t="n">
        <v>10</v>
      </c>
      <c r="G25" s="101" t="inlineStr">
        <is>
          <t>10</t>
        </is>
      </c>
    </row>
    <row r="27" ht="19.5" customHeight="1" s="95">
      <c r="A27" s="98" t="inlineStr">
        <is>
          <t xml:space="preserve">  C  |  FINANCING STRUCTURE</t>
        </is>
      </c>
    </row>
    <row r="28" ht="18" customHeight="1" s="95">
      <c r="A28" s="99" t="inlineStr">
        <is>
          <t>Interest Rate – Senior (%)</t>
        </is>
      </c>
      <c r="B28" s="100" t="n">
        <v>0.041</v>
      </c>
      <c r="G28" s="101" t="inlineStr">
        <is>
          <t>Current market: ~4.1–4.3%</t>
        </is>
      </c>
    </row>
    <row r="29" ht="18" customHeight="1" s="95">
      <c r="A29" s="99" t="inlineStr">
        <is>
          <t>Loan Term (Years)</t>
        </is>
      </c>
      <c r="B29" s="102" t="n">
        <v>10</v>
      </c>
      <c r="G29" s="101" t="inlineStr">
        <is>
          <t>10</t>
        </is>
      </c>
    </row>
    <row r="30" ht="18" customHeight="1" s="95">
      <c r="A30" s="99" t="inlineStr">
        <is>
          <t>Amortisation Type</t>
        </is>
      </c>
      <c r="B30" s="102" t="inlineStr">
        <is>
          <t>Annuitaetendarlehen</t>
        </is>
      </c>
      <c r="G30" s="101" t="inlineStr">
        <is>
          <t>Annuitätendarlehen / Endfällig / IO</t>
        </is>
      </c>
    </row>
    <row r="31" ht="18" customHeight="1" s="95">
      <c r="A31" s="99" t="inlineStr">
        <is>
          <t>Annual Amortisation (%)</t>
        </is>
      </c>
      <c r="B31" s="102" t="n">
        <v>0.02</v>
      </c>
      <c r="G31" s="101" t="inlineStr">
        <is>
          <t>2.0% standard German CRE</t>
        </is>
      </c>
    </row>
    <row r="32" ht="18" customHeight="1" s="95">
      <c r="A32" s="99" t="inlineStr">
        <is>
          <t>Annual Debt Service (€)</t>
        </is>
      </c>
      <c r="B32" s="102" t="n"/>
      <c r="G32" s="101">
        <f>IFERROR(B18*(B28+B31),"-")</f>
        <v/>
      </c>
    </row>
    <row r="33" ht="18" customHeight="1" s="95">
      <c r="A33" s="99" t="inlineStr">
        <is>
          <t>IO Period (Years)</t>
        </is>
      </c>
      <c r="B33" s="102" t="n">
        <v>2</v>
      </c>
      <c r="G33" s="101" t="inlineStr">
        <is>
          <t>0–3, enter 0 if none</t>
        </is>
      </c>
    </row>
    <row r="35" ht="19.5" customHeight="1" s="95">
      <c r="A35" s="98" t="inlineStr">
        <is>
          <t xml:space="preserve">  D  |  KEY OUTPUT METRICS  (auto-calculated from Rent Roll)</t>
        </is>
      </c>
    </row>
    <row r="36" ht="15" customHeight="1" s="95">
      <c r="A36" s="104" t="inlineStr">
        <is>
          <t>KPI</t>
        </is>
      </c>
      <c r="B36" s="104" t="inlineStr">
        <is>
          <t>Value</t>
        </is>
      </c>
      <c r="C36" s="104" t="inlineStr">
        <is>
          <t>Benchmark</t>
        </is>
      </c>
      <c r="D36" s="104" t="inlineStr">
        <is>
          <t>Traffic Light</t>
        </is>
      </c>
      <c r="E36" s="104" t="inlineStr">
        <is>
          <t>Notes</t>
        </is>
      </c>
    </row>
    <row r="37" ht="15" customHeight="1" s="95">
      <c r="A37" s="105" t="inlineStr">
        <is>
          <t>Gross Passing Rent (€/yr)</t>
        </is>
      </c>
      <c r="B37" s="106">
        <f>'Rent Roll'!B110</f>
        <v/>
      </c>
      <c r="C37" s="107" t="inlineStr">
        <is>
          <t>—</t>
        </is>
      </c>
      <c r="D37" s="108" t="n"/>
      <c r="E37" s="109" t="n"/>
    </row>
    <row r="38" ht="15" customHeight="1" s="95">
      <c r="A38" s="110" t="inlineStr">
        <is>
          <t>Net Operating Income (€/yr)</t>
        </is>
      </c>
      <c r="B38" s="111">
        <f>'Rent Roll'!B112</f>
        <v/>
      </c>
      <c r="C38" s="112" t="inlineStr">
        <is>
          <t>—</t>
        </is>
      </c>
      <c r="D38" s="113" t="n"/>
      <c r="E38" s="114" t="inlineStr">
        <is>
          <t>Passing rent – non-recoverable costs</t>
        </is>
      </c>
    </row>
    <row r="39" ht="15" customHeight="1" s="95">
      <c r="A39" s="105" t="inlineStr">
        <is>
          <t>Gross Initial Yield (%)</t>
        </is>
      </c>
      <c r="B39" s="115">
        <f>IFERROR(B38/B16,"-")</f>
        <v/>
      </c>
      <c r="C39" s="107" t="inlineStr">
        <is>
          <t>5.5%–9% retail DE</t>
        </is>
      </c>
      <c r="D39" s="108" t="n"/>
      <c r="E39" s="109" t="inlineStr">
        <is>
          <t>NOI / Purchase Price</t>
        </is>
      </c>
    </row>
    <row r="40" ht="15" customHeight="1" s="95">
      <c r="A40" s="110" t="inlineStr">
        <is>
          <t>DSCR</t>
        </is>
      </c>
      <c r="B40" s="111">
        <f>IFERROR(B38/B32,"-")</f>
        <v/>
      </c>
      <c r="C40" s="112" t="inlineStr">
        <is>
          <t>&gt;1.30x (bank min)</t>
        </is>
      </c>
      <c r="D40" s="113" t="n"/>
      <c r="E40" s="114" t="inlineStr">
        <is>
          <t>NOI / Annual Debt Service</t>
        </is>
      </c>
    </row>
    <row r="41" ht="15" customHeight="1" s="95">
      <c r="A41" s="105" t="inlineStr">
        <is>
          <t>ICR</t>
        </is>
      </c>
      <c r="B41" s="115">
        <f>IFERROR(B38/(B18*B28),"-")</f>
        <v/>
      </c>
      <c r="C41" s="107" t="inlineStr">
        <is>
          <t>≥1.75x</t>
        </is>
      </c>
      <c r="D41" s="108" t="n"/>
      <c r="E41" s="109" t="inlineStr">
        <is>
          <t>NOI / Interest only</t>
        </is>
      </c>
    </row>
    <row r="42" ht="15" customHeight="1" s="95">
      <c r="A42" s="110" t="inlineStr">
        <is>
          <t>LTV at Acquisition (%)</t>
        </is>
      </c>
      <c r="B42" s="111">
        <f>B19</f>
        <v/>
      </c>
      <c r="C42" s="112" t="inlineStr">
        <is>
          <t>&lt;65%</t>
        </is>
      </c>
      <c r="D42" s="113" t="n"/>
      <c r="E42" s="114" t="inlineStr">
        <is>
          <t>Senior loan / Purchase Price</t>
        </is>
      </c>
    </row>
    <row r="43" ht="15" customHeight="1" s="95">
      <c r="A43" s="105" t="inlineStr">
        <is>
          <t>WAULT (Years)</t>
        </is>
      </c>
      <c r="B43" s="116">
        <f>'Rent Roll'!B115</f>
        <v/>
      </c>
      <c r="C43" s="107" t="inlineStr">
        <is>
          <t>&gt;4 yrs</t>
        </is>
      </c>
      <c r="D43" s="108" t="n"/>
      <c r="E43" s="109" t="inlineStr">
        <is>
          <t>Weighted Avg Unexpired Lease Term</t>
        </is>
      </c>
    </row>
    <row r="44" ht="15" customHeight="1" s="95">
      <c r="A44" s="110" t="inlineStr">
        <is>
          <t>Vacancy Rate (%)</t>
        </is>
      </c>
      <c r="B44" s="117">
        <f>'Rent Roll'!B117</f>
        <v/>
      </c>
      <c r="C44" s="112" t="inlineStr">
        <is>
          <t>&lt;10%</t>
        </is>
      </c>
      <c r="D44" s="113" t="n"/>
      <c r="E44" s="114" t="inlineStr">
        <is>
          <t>Vacant m² / Total GLA</t>
        </is>
      </c>
    </row>
    <row r="45" ht="15" customHeight="1" s="95">
      <c r="A45" s="105" t="inlineStr">
        <is>
          <t>Anchor Concentration (%)</t>
        </is>
      </c>
      <c r="B45" s="118">
        <f>'Rent Roll'!B119</f>
        <v/>
      </c>
      <c r="C45" s="107" t="inlineStr">
        <is>
          <t>&lt;55%</t>
        </is>
      </c>
      <c r="D45" s="108" t="n"/>
      <c r="E45" s="109" t="inlineStr">
        <is>
          <t>Top tenant rent / Total rent</t>
        </is>
      </c>
    </row>
    <row r="46" ht="15" customHeight="1" s="95">
      <c r="A46" s="110" t="inlineStr">
        <is>
          <t>Cash-on-Cash Return (%)</t>
        </is>
      </c>
      <c r="B46" s="111">
        <f>IFERROR((B38-B32)/B17,"-")</f>
        <v/>
      </c>
      <c r="C46" s="112" t="inlineStr">
        <is>
          <t>5%–8%</t>
        </is>
      </c>
      <c r="D46" s="113" t="n"/>
      <c r="E46" s="114" t="inlineStr">
        <is>
          <t>(NOI – Debt Service) / Equity</t>
        </is>
      </c>
    </row>
    <row r="112" ht="15" customHeight="1" s="95">
      <c r="B112" s="119">
        <f>'Cost Sheet'!B28</f>
        <v/>
      </c>
    </row>
  </sheetData>
  <mergeCells count="6">
    <mergeCell ref="A2:L2"/>
    <mergeCell ref="A15:L15"/>
    <mergeCell ref="A1:L1"/>
    <mergeCell ref="A27:L27"/>
    <mergeCell ref="A35:L35"/>
    <mergeCell ref="A4:L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1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2" customWidth="1" style="94" min="2" max="2"/>
    <col width="16" customWidth="1" style="94" min="3" max="3"/>
    <col width="8" customWidth="1" style="94" min="4" max="4"/>
    <col width="10" customWidth="1" style="94" min="5" max="5"/>
    <col width="12" customWidth="1" style="94" min="6" max="6"/>
    <col width="14" customWidth="1" style="94" min="7" max="7"/>
    <col width="12" customWidth="1" style="94" min="8" max="10"/>
    <col width="11" customWidth="1" style="94" min="11" max="11"/>
    <col width="9" customWidth="1" style="94" min="12" max="12"/>
    <col width="10" customWidth="1" style="94" min="13" max="13"/>
    <col width="9" customWidth="1" style="94" min="14" max="14"/>
    <col width="13" customWidth="1" style="94" min="15" max="16"/>
    <col width="10" customWidth="1" style="94" min="17" max="17"/>
    <col width="28" customWidth="1" style="94" min="18" max="18"/>
  </cols>
  <sheetData>
    <row r="1" ht="30" customHeight="1" s="95">
      <c r="A1" s="120" t="inlineStr">
        <is>
          <t>RENT ROLL  |  Institutional Input Sheet  –  Enter one row per lease unit</t>
        </is>
      </c>
    </row>
    <row r="2" ht="13.5" customHeight="1" s="95">
      <c r="A2" s="97" t="inlineStr">
        <is>
          <t>Blue cells = your inputs  |  Black cells = auto-calculated  |  Max 100 rows (rows 4–103)  |  Leave vacant units with Tenant = 'VACANT'</t>
        </is>
      </c>
    </row>
    <row r="3" ht="36" customHeight="1" s="95">
      <c r="A3" s="121" t="inlineStr">
        <is>
          <t>Unit
Ref</t>
        </is>
      </c>
      <c r="B3" s="121" t="inlineStr">
        <is>
          <t>Tenant
Name</t>
        </is>
      </c>
      <c r="C3" s="121" t="inlineStr">
        <is>
          <t>Trade
Sector</t>
        </is>
      </c>
      <c r="D3" s="121" t="inlineStr">
        <is>
          <t>Anchor?
(Y/N)</t>
        </is>
      </c>
      <c r="E3" s="121" t="inlineStr">
        <is>
          <t>Leased
Area (m²)</t>
        </is>
      </c>
      <c r="F3" s="121" t="inlineStr">
        <is>
          <t>Passing Rent
€/m²/mo</t>
        </is>
      </c>
      <c r="G3" s="121" t="inlineStr">
        <is>
          <t>Annual
Rent (€)</t>
        </is>
      </c>
      <c r="H3" s="121" t="inlineStr">
        <is>
          <t>Lease
Start</t>
        </is>
      </c>
      <c r="I3" s="121" t="inlineStr">
        <is>
          <t>Lease
Expiry</t>
        </is>
      </c>
      <c r="J3" s="121" t="inlineStr">
        <is>
          <t>Break
Option Date</t>
        </is>
      </c>
      <c r="K3" s="121" t="inlineStr">
        <is>
          <t>Unexpired
Term (Yrs)</t>
        </is>
      </c>
      <c r="L3" s="121" t="inlineStr">
        <is>
          <t>CPI
Clause (Y/N)</t>
        </is>
      </c>
      <c r="M3" s="121" t="inlineStr">
        <is>
          <t>CPI
Pass-Through %</t>
        </is>
      </c>
      <c r="N3" s="121" t="inlineStr">
        <is>
          <t>CPI
Trigger %</t>
        </is>
      </c>
      <c r="O3" s="121" t="inlineStr">
        <is>
          <t>Security
Deposit (€)</t>
        </is>
      </c>
      <c r="P3" s="121" t="inlineStr">
        <is>
          <t>Service Charge
Recov. (Y/N)</t>
        </is>
      </c>
      <c r="Q3" s="121" t="inlineStr">
        <is>
          <t>Rent-Free
Months</t>
        </is>
      </c>
      <c r="R3" s="121" t="inlineStr">
        <is>
          <t>Notes /
Observations</t>
        </is>
      </c>
    </row>
    <row r="4" ht="15" customHeight="1" s="95">
      <c r="A4" s="122" t="inlineStr">
        <is>
          <t>U-01</t>
        </is>
      </c>
      <c r="B4" s="123" t="inlineStr">
        <is>
          <t>Edeka Muenchen</t>
        </is>
      </c>
      <c r="C4" s="123" t="inlineStr">
        <is>
          <t>Food &amp; Grocery</t>
        </is>
      </c>
      <c r="D4" s="122" t="inlineStr">
        <is>
          <t>Y</t>
        </is>
      </c>
      <c r="E4" s="124" t="n">
        <v>2600</v>
      </c>
      <c r="F4" s="125" t="n">
        <v>12.5</v>
      </c>
      <c r="G4" s="126">
        <f>IFERROR(E4*F4*12,0)</f>
        <v/>
      </c>
      <c r="H4" s="127" t="n">
        <v>43556</v>
      </c>
      <c r="I4" s="127" t="n">
        <v>49399</v>
      </c>
      <c r="J4" s="127" t="n"/>
      <c r="K4" s="128">
        <f>IFERROR(IF(B4="VACANT",0,(I4-TODAY())/365.25),0)</f>
        <v/>
      </c>
      <c r="L4" s="122" t="inlineStr">
        <is>
          <t>Y</t>
        </is>
      </c>
      <c r="M4" s="129" t="n">
        <v>0.75</v>
      </c>
      <c r="N4" s="129" t="n">
        <v>0.1</v>
      </c>
      <c r="O4" s="124" t="n">
        <v>36375</v>
      </c>
      <c r="P4" s="122" t="inlineStr">
        <is>
          <t>Y</t>
        </is>
      </c>
      <c r="Q4" s="130" t="n">
        <v>0</v>
      </c>
      <c r="R4" s="123" t="inlineStr">
        <is>
          <t>Premium Edeka franchise — 9yr remaining. Germering = rich Munich suburb.</t>
        </is>
      </c>
    </row>
    <row r="5" ht="15" customHeight="1" s="95">
      <c r="A5" s="131" t="inlineStr">
        <is>
          <t>U-02</t>
        </is>
      </c>
      <c r="B5" s="132" t="inlineStr">
        <is>
          <t>dm-drogerie markt</t>
        </is>
      </c>
      <c r="C5" s="132" t="inlineStr">
        <is>
          <t>Health &amp; Beauty</t>
        </is>
      </c>
      <c r="D5" s="131" t="inlineStr">
        <is>
          <t>N</t>
        </is>
      </c>
      <c r="E5" s="133" t="n">
        <v>620</v>
      </c>
      <c r="F5" s="134" t="n">
        <v>18.5</v>
      </c>
      <c r="G5" s="126">
        <f>IFERROR(E5*F5*12,0)</f>
        <v/>
      </c>
      <c r="H5" s="135" t="n">
        <v>44105</v>
      </c>
      <c r="I5" s="135" t="n">
        <v>49582</v>
      </c>
      <c r="J5" s="135" t="n"/>
      <c r="K5" s="136">
        <f>IFERROR(IF(B5="VACANT",0,(I5-TODAY())/365.25),0)</f>
        <v/>
      </c>
      <c r="L5" s="131" t="inlineStr">
        <is>
          <t>Y</t>
        </is>
      </c>
      <c r="M5" s="137" t="n">
        <v>1</v>
      </c>
      <c r="N5" s="137" t="n">
        <v>0.1</v>
      </c>
      <c r="O5" s="133" t="n">
        <v>12838</v>
      </c>
      <c r="P5" s="131" t="inlineStr">
        <is>
          <t>Y</t>
        </is>
      </c>
      <c r="Q5" s="138" t="n">
        <v>0</v>
      </c>
      <c r="R5" s="132" t="inlineStr">
        <is>
          <t>9.5yr remaining — very long dm lease. Premium Munich covenant.</t>
        </is>
      </c>
    </row>
    <row r="6" ht="15" customHeight="1" s="95">
      <c r="A6" s="122" t="inlineStr">
        <is>
          <t>U-03</t>
        </is>
      </c>
      <c r="B6" s="123" t="inlineStr">
        <is>
          <t>Rossmann GmbH</t>
        </is>
      </c>
      <c r="C6" s="123" t="inlineStr">
        <is>
          <t>Health &amp; Beauty</t>
        </is>
      </c>
      <c r="D6" s="122" t="inlineStr">
        <is>
          <t>N</t>
        </is>
      </c>
      <c r="E6" s="124" t="n">
        <v>420</v>
      </c>
      <c r="F6" s="125" t="n">
        <v>17</v>
      </c>
      <c r="G6" s="126">
        <f>IFERROR(E6*F6*12,0)</f>
        <v/>
      </c>
      <c r="H6" s="127" t="n">
        <v>44287</v>
      </c>
      <c r="I6" s="127" t="n">
        <v>48669</v>
      </c>
      <c r="J6" s="127" t="n"/>
      <c r="K6" s="128">
        <f>IFERROR(IF(B6="VACANT",0,(I6-TODAY())/365.25),0)</f>
        <v/>
      </c>
      <c r="L6" s="122" t="inlineStr">
        <is>
          <t>Y</t>
        </is>
      </c>
      <c r="M6" s="129" t="n">
        <v>1</v>
      </c>
      <c r="N6" s="129" t="n">
        <v>0.1</v>
      </c>
      <c r="O6" s="124" t="n">
        <v>7956</v>
      </c>
      <c r="P6" s="122" t="inlineStr">
        <is>
          <t>Y</t>
        </is>
      </c>
      <c r="Q6" s="130" t="n">
        <v>0</v>
      </c>
      <c r="R6" s="123" t="inlineStr">
        <is>
          <t>7yr remaining — unusual to have both dm and Rossmann. Strong format.</t>
        </is>
      </c>
    </row>
    <row r="7" ht="15" customHeight="1" s="95">
      <c r="A7" s="131" t="inlineStr">
        <is>
          <t>U-04</t>
        </is>
      </c>
      <c r="B7" s="132" t="inlineStr">
        <is>
          <t>Fressnapf GmbH</t>
        </is>
      </c>
      <c r="C7" s="132" t="inlineStr">
        <is>
          <t>Pet Supplies</t>
        </is>
      </c>
      <c r="D7" s="131" t="inlineStr">
        <is>
          <t>N</t>
        </is>
      </c>
      <c r="E7" s="133" t="n">
        <v>480</v>
      </c>
      <c r="F7" s="134" t="n">
        <v>13</v>
      </c>
      <c r="G7" s="126">
        <f>IFERROR(E7*F7*12,0)</f>
        <v/>
      </c>
      <c r="H7" s="135" t="n">
        <v>43739</v>
      </c>
      <c r="I7" s="135" t="n">
        <v>49217</v>
      </c>
      <c r="J7" s="135" t="n"/>
      <c r="K7" s="136">
        <f>IFERROR(IF(B7="VACANT",0,(I7-TODAY())/365.25),0)</f>
        <v/>
      </c>
      <c r="L7" s="131" t="inlineStr">
        <is>
          <t>Y</t>
        </is>
      </c>
      <c r="M7" s="137" t="n">
        <v>1</v>
      </c>
      <c r="N7" s="137" t="n">
        <v>0.1</v>
      </c>
      <c r="O7" s="133" t="n">
        <v>7020</v>
      </c>
      <c r="P7" s="131" t="inlineStr">
        <is>
          <t>Y</t>
        </is>
      </c>
      <c r="Q7" s="138" t="n">
        <v>0</v>
      </c>
      <c r="R7" s="132" t="inlineStr">
        <is>
          <t>8.5yr remaining — Fressnapf flagship format.</t>
        </is>
      </c>
    </row>
    <row r="8" ht="15" customHeight="1" s="95">
      <c r="A8" s="122" t="inlineStr">
        <is>
          <t>U-05</t>
        </is>
      </c>
      <c r="B8" s="123" t="inlineStr">
        <is>
          <t>Ernstings Family</t>
        </is>
      </c>
      <c r="C8" s="123" t="inlineStr">
        <is>
          <t>Fashion</t>
        </is>
      </c>
      <c r="D8" s="122" t="inlineStr">
        <is>
          <t>N</t>
        </is>
      </c>
      <c r="E8" s="124" t="n">
        <v>380</v>
      </c>
      <c r="F8" s="125" t="n">
        <v>10.5</v>
      </c>
      <c r="G8" s="126">
        <f>IFERROR(E8*F8*12,0)</f>
        <v/>
      </c>
      <c r="H8" s="127" t="n">
        <v>44652</v>
      </c>
      <c r="I8" s="127" t="n">
        <v>47938</v>
      </c>
      <c r="J8" s="127" t="n"/>
      <c r="K8" s="128">
        <f>IFERROR(IF(B8="VACANT",0,(I8-TODAY())/365.25),0)</f>
        <v/>
      </c>
      <c r="L8" s="122" t="inlineStr">
        <is>
          <t>N</t>
        </is>
      </c>
      <c r="M8" s="129" t="n">
        <v>0</v>
      </c>
      <c r="N8" s="129" t="n">
        <v>0</v>
      </c>
      <c r="O8" s="124" t="n">
        <v>2999</v>
      </c>
      <c r="P8" s="122" t="inlineStr">
        <is>
          <t>Y</t>
        </is>
      </c>
      <c r="Q8" s="130" t="n">
        <v>0</v>
      </c>
      <c r="R8" s="123" t="inlineStr">
        <is>
          <t>5yr remaining — solid mid-market family fashion.</t>
        </is>
      </c>
    </row>
    <row r="9" ht="15" customHeight="1" s="95">
      <c r="A9" s="131" t="inlineStr">
        <is>
          <t>U-06</t>
        </is>
      </c>
      <c r="B9" s="132" t="inlineStr">
        <is>
          <t>Subway / Services</t>
        </is>
      </c>
      <c r="C9" s="132" t="inlineStr">
        <is>
          <t>Personal Services</t>
        </is>
      </c>
      <c r="D9" s="131" t="inlineStr">
        <is>
          <t>N</t>
        </is>
      </c>
      <c r="E9" s="133" t="n">
        <v>700</v>
      </c>
      <c r="F9" s="134" t="n">
        <v>12</v>
      </c>
      <c r="G9" s="126">
        <f>IFERROR(E9*F9*12,0)</f>
        <v/>
      </c>
      <c r="H9" s="135" t="n">
        <v>44470</v>
      </c>
      <c r="I9" s="135" t="n">
        <v>47756</v>
      </c>
      <c r="J9" s="135" t="n"/>
      <c r="K9" s="136">
        <f>IFERROR(IF(B9="VACANT",0,(I9-TODAY())/365.25),0)</f>
        <v/>
      </c>
      <c r="L9" s="131" t="inlineStr">
        <is>
          <t>N</t>
        </is>
      </c>
      <c r="M9" s="137" t="n">
        <v>0</v>
      </c>
      <c r="N9" s="137" t="n">
        <v>0</v>
      </c>
      <c r="O9" s="133" t="n">
        <v>4200</v>
      </c>
      <c r="P9" s="131" t="inlineStr">
        <is>
          <t>Y</t>
        </is>
      </c>
      <c r="Q9" s="138" t="n">
        <v>0</v>
      </c>
      <c r="R9" s="132" t="inlineStr">
        <is>
          <t>4.5yr remaining — food court and services strip.</t>
        </is>
      </c>
    </row>
    <row r="10" ht="15" customHeight="1" s="95">
      <c r="A10" s="122" t="n"/>
      <c r="B10" s="123" t="n"/>
      <c r="C10" s="123" t="n"/>
      <c r="D10" s="122" t="n"/>
      <c r="E10" s="124" t="n"/>
      <c r="F10" s="125" t="n"/>
      <c r="G10" s="126">
        <f>IFERROR(E10*F10*12,0)</f>
        <v/>
      </c>
      <c r="H10" s="127" t="n"/>
      <c r="I10" s="127" t="n"/>
      <c r="J10" s="127" t="n"/>
      <c r="K10" s="128">
        <f>IFERROR(IF(B10="VACANT",0,(I10-TODAY())/365.25),0)</f>
        <v/>
      </c>
      <c r="L10" s="122" t="n"/>
      <c r="M10" s="129" t="n"/>
      <c r="N10" s="129" t="n"/>
      <c r="O10" s="124" t="n"/>
      <c r="P10" s="122" t="n"/>
      <c r="Q10" s="130" t="n"/>
      <c r="R10" s="123" t="n"/>
    </row>
    <row r="11" ht="15" customHeight="1" s="95">
      <c r="A11" s="131" t="n"/>
      <c r="B11" s="132" t="n"/>
      <c r="C11" s="132" t="n"/>
      <c r="D11" s="131" t="n"/>
      <c r="E11" s="133" t="n"/>
      <c r="F11" s="134" t="n"/>
      <c r="G11" s="126">
        <f>IFERROR(E11*F11*12,0)</f>
        <v/>
      </c>
      <c r="H11" s="135" t="n"/>
      <c r="I11" s="135" t="n"/>
      <c r="J11" s="135" t="n"/>
      <c r="K11" s="136">
        <f>IFERROR(IF(B11="VACANT",0,(I11-TODAY())/365.25),0)</f>
        <v/>
      </c>
      <c r="L11" s="131" t="n"/>
      <c r="M11" s="137" t="n"/>
      <c r="N11" s="137" t="n"/>
      <c r="O11" s="133" t="n"/>
      <c r="P11" s="131" t="n"/>
      <c r="Q11" s="138" t="n"/>
      <c r="R11" s="132" t="n"/>
    </row>
    <row r="12" ht="15" customHeight="1" s="95">
      <c r="A12" s="122" t="n"/>
      <c r="B12" s="123" t="n"/>
      <c r="C12" s="123" t="n"/>
      <c r="D12" s="122" t="n"/>
      <c r="E12" s="124" t="n"/>
      <c r="F12" s="125" t="n"/>
      <c r="G12" s="126">
        <f>IFERROR(E12*F12*12,0)</f>
        <v/>
      </c>
      <c r="H12" s="127" t="n"/>
      <c r="I12" s="127" t="n"/>
      <c r="J12" s="127" t="n"/>
      <c r="K12" s="128">
        <f>IFERROR(IF(B12="VACANT",0,(I12-TODAY())/365.25),0)</f>
        <v/>
      </c>
      <c r="L12" s="122" t="n"/>
      <c r="M12" s="129" t="n"/>
      <c r="N12" s="129" t="n"/>
      <c r="O12" s="124" t="n"/>
      <c r="P12" s="122" t="n"/>
      <c r="Q12" s="130" t="n"/>
      <c r="R12" s="123" t="n"/>
    </row>
    <row r="13" ht="15" customHeight="1" s="95">
      <c r="A13" s="131" t="n"/>
      <c r="B13" s="132" t="n"/>
      <c r="C13" s="132" t="n"/>
      <c r="D13" s="131" t="n"/>
      <c r="E13" s="133" t="n"/>
      <c r="F13" s="134" t="n"/>
      <c r="G13" s="126">
        <f>IFERROR(E13*F13*12,0)</f>
        <v/>
      </c>
      <c r="H13" s="135" t="n"/>
      <c r="I13" s="135" t="n"/>
      <c r="J13" s="135" t="n"/>
      <c r="K13" s="136">
        <f>IFERROR(IF(B13="VACANT",0,(I13-TODAY())/365.25),0)</f>
        <v/>
      </c>
      <c r="L13" s="131" t="n"/>
      <c r="M13" s="137" t="n"/>
      <c r="N13" s="137" t="n"/>
      <c r="O13" s="133" t="n"/>
      <c r="P13" s="131" t="n"/>
      <c r="Q13" s="138" t="n"/>
      <c r="R13" s="132" t="n"/>
    </row>
    <row r="14" ht="15" customHeight="1" s="95">
      <c r="A14" s="122" t="n"/>
      <c r="B14" s="123" t="n"/>
      <c r="C14" s="123" t="n"/>
      <c r="D14" s="122" t="n"/>
      <c r="E14" s="124" t="n"/>
      <c r="F14" s="125" t="n"/>
      <c r="G14" s="126">
        <f>IFERROR(E14*F14*12,0)</f>
        <v/>
      </c>
      <c r="H14" s="127" t="n"/>
      <c r="I14" s="127" t="n"/>
      <c r="J14" s="127" t="n"/>
      <c r="K14" s="128">
        <f>IFERROR(IF(B14="VACANT",0,(I14-TODAY())/365.25),0)</f>
        <v/>
      </c>
      <c r="L14" s="122" t="n"/>
      <c r="M14" s="129" t="n"/>
      <c r="N14" s="129" t="n"/>
      <c r="O14" s="124" t="n"/>
      <c r="P14" s="122" t="n"/>
      <c r="Q14" s="130" t="n"/>
      <c r="R14" s="123" t="n"/>
    </row>
    <row r="15" ht="15" customHeight="1" s="95">
      <c r="A15" s="131" t="n"/>
      <c r="B15" s="132" t="n"/>
      <c r="C15" s="132" t="n"/>
      <c r="D15" s="131" t="n"/>
      <c r="E15" s="133" t="n"/>
      <c r="F15" s="134" t="n"/>
      <c r="G15" s="126">
        <f>IFERROR(E15*F15*12,0)</f>
        <v/>
      </c>
      <c r="H15" s="135" t="n"/>
      <c r="I15" s="135" t="n"/>
      <c r="J15" s="135" t="n"/>
      <c r="K15" s="136">
        <f>IFERROR(IF(B15="VACANT",0,(I15-TODAY())/365.25),0)</f>
        <v/>
      </c>
      <c r="L15" s="131" t="n"/>
      <c r="M15" s="137" t="n"/>
      <c r="N15" s="137" t="n"/>
      <c r="O15" s="133" t="n"/>
      <c r="P15" s="131" t="n"/>
      <c r="Q15" s="138" t="n"/>
      <c r="R15" s="132" t="n"/>
    </row>
    <row r="16" ht="15" customHeight="1" s="95">
      <c r="A16" s="122" t="n"/>
      <c r="B16" s="123" t="n"/>
      <c r="C16" s="123" t="n"/>
      <c r="D16" s="122" t="n"/>
      <c r="E16" s="124" t="n"/>
      <c r="F16" s="125" t="n"/>
      <c r="G16" s="126">
        <f>IFERROR(E16*F16*12,0)</f>
        <v/>
      </c>
      <c r="H16" s="127" t="n"/>
      <c r="I16" s="127" t="n"/>
      <c r="J16" s="127" t="n"/>
      <c r="K16" s="128">
        <f>IFERROR(IF(B16="VACANT",0,(I16-TODAY())/365.25),0)</f>
        <v/>
      </c>
      <c r="L16" s="122" t="n"/>
      <c r="M16" s="129" t="n"/>
      <c r="N16" s="129" t="n"/>
      <c r="O16" s="124" t="n"/>
      <c r="P16" s="122" t="n"/>
      <c r="Q16" s="130" t="n"/>
      <c r="R16" s="123" t="n"/>
    </row>
    <row r="17" ht="15" customHeight="1" s="95">
      <c r="A17" s="131" t="n"/>
      <c r="B17" s="132" t="n"/>
      <c r="C17" s="132" t="n"/>
      <c r="D17" s="131" t="n"/>
      <c r="E17" s="133" t="n"/>
      <c r="F17" s="134" t="n"/>
      <c r="G17" s="126">
        <f>IFERROR(E17*F17*12,0)</f>
        <v/>
      </c>
      <c r="H17" s="135" t="n"/>
      <c r="I17" s="135" t="n"/>
      <c r="J17" s="135" t="n"/>
      <c r="K17" s="136">
        <f>IFERROR(IF(B17="VACANT",0,(I17-TODAY())/365.25),0)</f>
        <v/>
      </c>
      <c r="L17" s="131" t="n"/>
      <c r="M17" s="137" t="n"/>
      <c r="N17" s="137" t="n"/>
      <c r="O17" s="133" t="n"/>
      <c r="P17" s="131" t="n"/>
      <c r="Q17" s="138" t="n"/>
      <c r="R17" s="132" t="n"/>
    </row>
    <row r="18" ht="15" customHeight="1" s="95">
      <c r="A18" s="122" t="n"/>
      <c r="B18" s="123" t="n"/>
      <c r="C18" s="123" t="n"/>
      <c r="D18" s="122" t="n"/>
      <c r="E18" s="124" t="n"/>
      <c r="F18" s="125" t="n"/>
      <c r="G18" s="126">
        <f>IFERROR(E18*F18*12,0)</f>
        <v/>
      </c>
      <c r="H18" s="127" t="n"/>
      <c r="I18" s="127" t="n"/>
      <c r="J18" s="127" t="n"/>
      <c r="K18" s="128">
        <f>IFERROR(IF(B18="VACANT",0,(I18-TODAY())/365.25),0)</f>
        <v/>
      </c>
      <c r="L18" s="122" t="n"/>
      <c r="M18" s="129" t="n"/>
      <c r="N18" s="129" t="n"/>
      <c r="O18" s="124" t="n"/>
      <c r="P18" s="122" t="n"/>
      <c r="Q18" s="130" t="n"/>
      <c r="R18" s="123" t="n"/>
    </row>
    <row r="19" ht="15" customHeight="1" s="95">
      <c r="A19" s="131" t="n"/>
      <c r="B19" s="132" t="n"/>
      <c r="C19" s="132" t="n"/>
      <c r="D19" s="131" t="n"/>
      <c r="E19" s="133" t="n"/>
      <c r="F19" s="134" t="n"/>
      <c r="G19" s="126">
        <f>IFERROR(E19*F19*12,0)</f>
        <v/>
      </c>
      <c r="H19" s="135" t="n"/>
      <c r="I19" s="135" t="n"/>
      <c r="J19" s="135" t="n"/>
      <c r="K19" s="136">
        <f>IFERROR(IF(B19="VACANT",0,(I19-TODAY())/365.25),0)</f>
        <v/>
      </c>
      <c r="L19" s="131" t="n"/>
      <c r="M19" s="137" t="n"/>
      <c r="N19" s="137" t="n"/>
      <c r="O19" s="133" t="n"/>
      <c r="P19" s="131" t="n"/>
      <c r="Q19" s="138" t="n"/>
      <c r="R19" s="132" t="n"/>
    </row>
    <row r="20" ht="15" customHeight="1" s="95">
      <c r="A20" s="122" t="n"/>
      <c r="B20" s="123" t="n"/>
      <c r="C20" s="123" t="n"/>
      <c r="D20" s="122" t="n"/>
      <c r="E20" s="124" t="n"/>
      <c r="F20" s="125" t="n"/>
      <c r="G20" s="126">
        <f>IFERROR(E20*F20*12,0)</f>
        <v/>
      </c>
      <c r="H20" s="127" t="n"/>
      <c r="I20" s="127" t="n"/>
      <c r="J20" s="127" t="n"/>
      <c r="K20" s="128">
        <f>IFERROR(IF(B20="VACANT",0,(I20-TODAY())/365.25),0)</f>
        <v/>
      </c>
      <c r="L20" s="122" t="n"/>
      <c r="M20" s="129" t="n"/>
      <c r="N20" s="129" t="n"/>
      <c r="O20" s="124" t="n"/>
      <c r="P20" s="122" t="n"/>
      <c r="Q20" s="130" t="n"/>
      <c r="R20" s="123" t="n"/>
    </row>
    <row r="21" ht="15" customHeight="1" s="95">
      <c r="A21" s="131" t="n"/>
      <c r="B21" s="132" t="n"/>
      <c r="C21" s="132" t="n"/>
      <c r="D21" s="131" t="n"/>
      <c r="E21" s="133" t="n"/>
      <c r="F21" s="134" t="n"/>
      <c r="G21" s="126">
        <f>IFERROR(E21*F21*12,0)</f>
        <v/>
      </c>
      <c r="H21" s="135" t="n"/>
      <c r="I21" s="135" t="n"/>
      <c r="J21" s="135" t="n"/>
      <c r="K21" s="136">
        <f>IFERROR(IF(B21="VACANT",0,(I21-TODAY())/365.25),0)</f>
        <v/>
      </c>
      <c r="L21" s="131" t="n"/>
      <c r="M21" s="137" t="n"/>
      <c r="N21" s="137" t="n"/>
      <c r="O21" s="133" t="n"/>
      <c r="P21" s="131" t="n"/>
      <c r="Q21" s="138" t="n"/>
      <c r="R21" s="132" t="n"/>
    </row>
    <row r="22" ht="15" customHeight="1" s="95">
      <c r="A22" s="122" t="n"/>
      <c r="B22" s="123" t="n"/>
      <c r="C22" s="123" t="n"/>
      <c r="D22" s="122" t="n"/>
      <c r="E22" s="124" t="n"/>
      <c r="F22" s="125" t="n"/>
      <c r="G22" s="126">
        <f>IFERROR(E22*F22*12,0)</f>
        <v/>
      </c>
      <c r="H22" s="127" t="n"/>
      <c r="I22" s="127" t="n"/>
      <c r="J22" s="127" t="n"/>
      <c r="K22" s="128">
        <f>IFERROR(IF(B22="VACANT",0,(I22-TODAY())/365.25),0)</f>
        <v/>
      </c>
      <c r="L22" s="122" t="n"/>
      <c r="M22" s="129" t="n"/>
      <c r="N22" s="129" t="n"/>
      <c r="O22" s="124" t="n"/>
      <c r="P22" s="122" t="n"/>
      <c r="Q22" s="130" t="n"/>
      <c r="R22" s="123" t="n"/>
    </row>
    <row r="23" ht="15" customHeight="1" s="95">
      <c r="A23" s="131" t="n"/>
      <c r="B23" s="132" t="n"/>
      <c r="C23" s="132" t="n"/>
      <c r="D23" s="131" t="n"/>
      <c r="E23" s="133" t="n"/>
      <c r="F23" s="134" t="n"/>
      <c r="G23" s="126">
        <f>IFERROR(E23*F23*12,0)</f>
        <v/>
      </c>
      <c r="H23" s="135" t="n"/>
      <c r="I23" s="135" t="n"/>
      <c r="J23" s="135" t="n"/>
      <c r="K23" s="136">
        <f>IFERROR(IF(B23="VACANT",0,(I23-TODAY())/365.25),0)</f>
        <v/>
      </c>
      <c r="L23" s="131" t="n"/>
      <c r="M23" s="137" t="n"/>
      <c r="N23" s="137" t="n"/>
      <c r="O23" s="133" t="n"/>
      <c r="P23" s="131" t="n"/>
      <c r="Q23" s="138" t="n"/>
      <c r="R23" s="132" t="n"/>
    </row>
    <row r="24" ht="15" customHeight="1" s="95">
      <c r="A24" s="122" t="n"/>
      <c r="B24" s="123" t="n"/>
      <c r="C24" s="123" t="n"/>
      <c r="D24" s="122" t="n"/>
      <c r="E24" s="124" t="n"/>
      <c r="F24" s="125" t="n"/>
      <c r="G24" s="126">
        <f>IFERROR(E24*F24*12,0)</f>
        <v/>
      </c>
      <c r="H24" s="127" t="n"/>
      <c r="I24" s="127" t="n"/>
      <c r="J24" s="127" t="n"/>
      <c r="K24" s="128">
        <f>IFERROR(IF(B24="VACANT",0,(I24-TODAY())/365.25),0)</f>
        <v/>
      </c>
      <c r="L24" s="122" t="n"/>
      <c r="M24" s="129" t="n"/>
      <c r="N24" s="129" t="n"/>
      <c r="O24" s="124" t="n"/>
      <c r="P24" s="122" t="n"/>
      <c r="Q24" s="130" t="n"/>
      <c r="R24" s="123" t="n"/>
    </row>
    <row r="25" ht="15" customHeight="1" s="95">
      <c r="A25" s="131" t="n"/>
      <c r="B25" s="132" t="n"/>
      <c r="C25" s="132" t="n"/>
      <c r="D25" s="131" t="n"/>
      <c r="E25" s="133" t="n"/>
      <c r="F25" s="134" t="n"/>
      <c r="G25" s="126">
        <f>IFERROR(E25*F25*12,0)</f>
        <v/>
      </c>
      <c r="H25" s="135" t="n"/>
      <c r="I25" s="135" t="n"/>
      <c r="J25" s="135" t="n"/>
      <c r="K25" s="136">
        <f>IFERROR(IF(B25="VACANT",0,(I25-TODAY())/365.25),0)</f>
        <v/>
      </c>
      <c r="L25" s="131" t="n"/>
      <c r="M25" s="137" t="n"/>
      <c r="N25" s="137" t="n"/>
      <c r="O25" s="133" t="n"/>
      <c r="P25" s="131" t="n"/>
      <c r="Q25" s="138" t="n"/>
      <c r="R25" s="132" t="n"/>
    </row>
    <row r="26" ht="15" customHeight="1" s="95">
      <c r="A26" s="122" t="n"/>
      <c r="B26" s="123" t="n"/>
      <c r="C26" s="123" t="n"/>
      <c r="D26" s="122" t="n"/>
      <c r="E26" s="124" t="n"/>
      <c r="F26" s="125" t="n"/>
      <c r="G26" s="126">
        <f>IFERROR(E26*F26*12,0)</f>
        <v/>
      </c>
      <c r="H26" s="127" t="n"/>
      <c r="I26" s="127" t="n"/>
      <c r="J26" s="127" t="n"/>
      <c r="K26" s="128">
        <f>IFERROR(IF(B26="VACANT",0,(I26-TODAY())/365.25),0)</f>
        <v/>
      </c>
      <c r="L26" s="122" t="n"/>
      <c r="M26" s="129" t="n"/>
      <c r="N26" s="129" t="n"/>
      <c r="O26" s="124" t="n"/>
      <c r="P26" s="122" t="n"/>
      <c r="Q26" s="130" t="n"/>
      <c r="R26" s="123" t="n"/>
    </row>
    <row r="27" ht="15" customHeight="1" s="95">
      <c r="A27" s="131" t="n"/>
      <c r="B27" s="132" t="n"/>
      <c r="C27" s="132" t="n"/>
      <c r="D27" s="131" t="n"/>
      <c r="E27" s="133" t="n"/>
      <c r="F27" s="134" t="n"/>
      <c r="G27" s="126">
        <f>IFERROR(E27*F27*12,0)</f>
        <v/>
      </c>
      <c r="H27" s="135" t="n"/>
      <c r="I27" s="135" t="n"/>
      <c r="J27" s="135" t="n"/>
      <c r="K27" s="136">
        <f>IFERROR(IF(B27="VACANT",0,(I27-TODAY())/365.25),0)</f>
        <v/>
      </c>
      <c r="L27" s="131" t="n"/>
      <c r="M27" s="137" t="n"/>
      <c r="N27" s="137" t="n"/>
      <c r="O27" s="133" t="n"/>
      <c r="P27" s="131" t="n"/>
      <c r="Q27" s="138" t="n"/>
      <c r="R27" s="132" t="n"/>
    </row>
    <row r="28" ht="15" customHeight="1" s="95">
      <c r="A28" s="122" t="n"/>
      <c r="B28" s="123" t="n"/>
      <c r="C28" s="123" t="n"/>
      <c r="D28" s="122" t="n"/>
      <c r="E28" s="124" t="n"/>
      <c r="F28" s="125" t="n"/>
      <c r="G28" s="126">
        <f>IFERROR(E28*F28*12,0)</f>
        <v/>
      </c>
      <c r="H28" s="127" t="n"/>
      <c r="I28" s="127" t="n"/>
      <c r="J28" s="127" t="n"/>
      <c r="K28" s="128">
        <f>IFERROR(IF(B28="VACANT",0,(I28-TODAY())/365.25),0)</f>
        <v/>
      </c>
      <c r="L28" s="122" t="n"/>
      <c r="M28" s="129" t="n"/>
      <c r="N28" s="129" t="n"/>
      <c r="O28" s="124" t="n"/>
      <c r="P28" s="122" t="n"/>
      <c r="Q28" s="130" t="n"/>
      <c r="R28" s="123" t="n"/>
    </row>
    <row r="29" ht="15" customHeight="1" s="95">
      <c r="A29" s="131" t="n"/>
      <c r="B29" s="132" t="n"/>
      <c r="C29" s="132" t="n"/>
      <c r="D29" s="131" t="n"/>
      <c r="E29" s="133" t="n"/>
      <c r="F29" s="134" t="n"/>
      <c r="G29" s="126">
        <f>IFERROR(E29*F29*12,0)</f>
        <v/>
      </c>
      <c r="H29" s="135" t="n"/>
      <c r="I29" s="135" t="n"/>
      <c r="J29" s="135" t="n"/>
      <c r="K29" s="136">
        <f>IFERROR(IF(B29="VACANT",0,(I29-TODAY())/365.25),0)</f>
        <v/>
      </c>
      <c r="L29" s="131" t="n"/>
      <c r="M29" s="137" t="n"/>
      <c r="N29" s="137" t="n"/>
      <c r="O29" s="133" t="n"/>
      <c r="P29" s="131" t="n"/>
      <c r="Q29" s="138" t="n"/>
      <c r="R29" s="132" t="n"/>
    </row>
    <row r="30" ht="15" customHeight="1" s="95">
      <c r="A30" s="122" t="n"/>
      <c r="B30" s="123" t="n"/>
      <c r="C30" s="123" t="n"/>
      <c r="D30" s="122" t="n"/>
      <c r="E30" s="124" t="n"/>
      <c r="F30" s="125" t="n"/>
      <c r="G30" s="126">
        <f>IFERROR(E30*F30*12,0)</f>
        <v/>
      </c>
      <c r="H30" s="127" t="n"/>
      <c r="I30" s="127" t="n"/>
      <c r="J30" s="127" t="n"/>
      <c r="K30" s="128">
        <f>IFERROR(IF(B30="VACANT",0,(I30-TODAY())/365.25),0)</f>
        <v/>
      </c>
      <c r="L30" s="122" t="n"/>
      <c r="M30" s="129" t="n"/>
      <c r="N30" s="129" t="n"/>
      <c r="O30" s="124" t="n"/>
      <c r="P30" s="122" t="n"/>
      <c r="Q30" s="130" t="n"/>
      <c r="R30" s="123" t="n"/>
    </row>
    <row r="31" ht="15" customHeight="1" s="95">
      <c r="A31" s="131" t="n"/>
      <c r="B31" s="132" t="n"/>
      <c r="C31" s="132" t="n"/>
      <c r="D31" s="131" t="n"/>
      <c r="E31" s="133" t="n"/>
      <c r="F31" s="134" t="n"/>
      <c r="G31" s="126">
        <f>IFERROR(E31*F31*12,0)</f>
        <v/>
      </c>
      <c r="H31" s="135" t="n"/>
      <c r="I31" s="135" t="n"/>
      <c r="J31" s="135" t="n"/>
      <c r="K31" s="136">
        <f>IFERROR(IF(B31="VACANT",0,(I31-TODAY())/365.25),0)</f>
        <v/>
      </c>
      <c r="L31" s="131" t="n"/>
      <c r="M31" s="137" t="n"/>
      <c r="N31" s="137" t="n"/>
      <c r="O31" s="133" t="n"/>
      <c r="P31" s="131" t="n"/>
      <c r="Q31" s="138" t="n"/>
      <c r="R31" s="132" t="n"/>
    </row>
    <row r="32" ht="15" customHeight="1" s="95">
      <c r="A32" s="122" t="n"/>
      <c r="B32" s="123" t="n"/>
      <c r="C32" s="123" t="n"/>
      <c r="D32" s="122" t="n"/>
      <c r="E32" s="124" t="n"/>
      <c r="F32" s="125" t="n"/>
      <c r="G32" s="126">
        <f>IFERROR(E32*F32*12,0)</f>
        <v/>
      </c>
      <c r="H32" s="127" t="n"/>
      <c r="I32" s="127" t="n"/>
      <c r="J32" s="127" t="n"/>
      <c r="K32" s="128">
        <f>IFERROR(IF(B32="VACANT",0,(I32-TODAY())/365.25),0)</f>
        <v/>
      </c>
      <c r="L32" s="122" t="n"/>
      <c r="M32" s="129" t="n"/>
      <c r="N32" s="129" t="n"/>
      <c r="O32" s="124" t="n"/>
      <c r="P32" s="122" t="n"/>
      <c r="Q32" s="130" t="n"/>
      <c r="R32" s="123" t="n"/>
    </row>
    <row r="33" ht="15" customHeight="1" s="95">
      <c r="A33" s="131" t="n"/>
      <c r="B33" s="132" t="n"/>
      <c r="C33" s="132" t="n"/>
      <c r="D33" s="131" t="n"/>
      <c r="E33" s="133" t="n"/>
      <c r="F33" s="134" t="n"/>
      <c r="G33" s="126">
        <f>IFERROR(E33*F33*12,0)</f>
        <v/>
      </c>
      <c r="H33" s="135" t="n"/>
      <c r="I33" s="135" t="n"/>
      <c r="J33" s="135" t="n"/>
      <c r="K33" s="136">
        <f>IFERROR(IF(B33="VACANT",0,(I33-TODAY())/365.25),0)</f>
        <v/>
      </c>
      <c r="L33" s="131" t="n"/>
      <c r="M33" s="137" t="n"/>
      <c r="N33" s="137" t="n"/>
      <c r="O33" s="133" t="n"/>
      <c r="P33" s="131" t="n"/>
      <c r="Q33" s="138" t="n"/>
      <c r="R33" s="132" t="n"/>
    </row>
    <row r="34" ht="15" customHeight="1" s="95">
      <c r="A34" s="122" t="n"/>
      <c r="B34" s="123" t="n"/>
      <c r="C34" s="123" t="n"/>
      <c r="D34" s="122" t="n"/>
      <c r="E34" s="124" t="n"/>
      <c r="F34" s="125" t="n"/>
      <c r="G34" s="126">
        <f>IFERROR(E34*F34*12,0)</f>
        <v/>
      </c>
      <c r="H34" s="127" t="n"/>
      <c r="I34" s="127" t="n"/>
      <c r="J34" s="127" t="n"/>
      <c r="K34" s="128">
        <f>IFERROR(IF(B34="VACANT",0,(I34-TODAY())/365.25),0)</f>
        <v/>
      </c>
      <c r="L34" s="122" t="n"/>
      <c r="M34" s="129" t="n"/>
      <c r="N34" s="129" t="n"/>
      <c r="O34" s="124" t="n"/>
      <c r="P34" s="122" t="n"/>
      <c r="Q34" s="130" t="n"/>
      <c r="R34" s="123" t="n"/>
    </row>
    <row r="35" ht="15" customHeight="1" s="95">
      <c r="A35" s="131" t="n"/>
      <c r="B35" s="132" t="n"/>
      <c r="C35" s="132" t="n"/>
      <c r="D35" s="131" t="n"/>
      <c r="E35" s="133" t="n"/>
      <c r="F35" s="134" t="n"/>
      <c r="G35" s="126">
        <f>IFERROR(E35*F35*12,0)</f>
        <v/>
      </c>
      <c r="H35" s="135" t="n"/>
      <c r="I35" s="135" t="n"/>
      <c r="J35" s="135" t="n"/>
      <c r="K35" s="136">
        <f>IFERROR(IF(B35="VACANT",0,(I35-TODAY())/365.25),0)</f>
        <v/>
      </c>
      <c r="L35" s="131" t="n"/>
      <c r="M35" s="137" t="n"/>
      <c r="N35" s="137" t="n"/>
      <c r="O35" s="133" t="n"/>
      <c r="P35" s="131" t="n"/>
      <c r="Q35" s="138" t="n"/>
      <c r="R35" s="132" t="n"/>
    </row>
    <row r="36" ht="15" customHeight="1" s="95">
      <c r="A36" s="122" t="n"/>
      <c r="B36" s="123" t="n"/>
      <c r="C36" s="123" t="n"/>
      <c r="D36" s="122" t="n"/>
      <c r="E36" s="124" t="n"/>
      <c r="F36" s="125" t="n"/>
      <c r="G36" s="126">
        <f>IFERROR(E36*F36*12,0)</f>
        <v/>
      </c>
      <c r="H36" s="127" t="n"/>
      <c r="I36" s="127" t="n"/>
      <c r="J36" s="127" t="n"/>
      <c r="K36" s="128">
        <f>IFERROR(IF(B36="VACANT",0,(I36-TODAY())/365.25),0)</f>
        <v/>
      </c>
      <c r="L36" s="122" t="n"/>
      <c r="M36" s="129" t="n"/>
      <c r="N36" s="129" t="n"/>
      <c r="O36" s="124" t="n"/>
      <c r="P36" s="122" t="n"/>
      <c r="Q36" s="130" t="n"/>
      <c r="R36" s="123" t="n"/>
    </row>
    <row r="37" ht="15" customHeight="1" s="95">
      <c r="A37" s="131" t="n"/>
      <c r="B37" s="132" t="n"/>
      <c r="C37" s="132" t="n"/>
      <c r="D37" s="131" t="n"/>
      <c r="E37" s="133" t="n"/>
      <c r="F37" s="134" t="n"/>
      <c r="G37" s="126">
        <f>IFERROR(E37*F37*12,0)</f>
        <v/>
      </c>
      <c r="H37" s="135" t="n"/>
      <c r="I37" s="135" t="n"/>
      <c r="J37" s="135" t="n"/>
      <c r="K37" s="136">
        <f>IFERROR(IF(B37="VACANT",0,(I37-TODAY())/365.25),0)</f>
        <v/>
      </c>
      <c r="L37" s="131" t="n"/>
      <c r="M37" s="137" t="n"/>
      <c r="N37" s="137" t="n"/>
      <c r="O37" s="133" t="n"/>
      <c r="P37" s="131" t="n"/>
      <c r="Q37" s="138" t="n"/>
      <c r="R37" s="132" t="n"/>
    </row>
    <row r="38" ht="15" customHeight="1" s="95">
      <c r="A38" s="122" t="n"/>
      <c r="B38" s="123" t="n"/>
      <c r="C38" s="123" t="n"/>
      <c r="D38" s="122" t="n"/>
      <c r="E38" s="124" t="n"/>
      <c r="F38" s="125" t="n"/>
      <c r="G38" s="126">
        <f>IFERROR(E38*F38*12,0)</f>
        <v/>
      </c>
      <c r="H38" s="127" t="n"/>
      <c r="I38" s="127" t="n"/>
      <c r="J38" s="127" t="n"/>
      <c r="K38" s="128">
        <f>IFERROR(IF(B38="VACANT",0,(I38-TODAY())/365.25),0)</f>
        <v/>
      </c>
      <c r="L38" s="122" t="n"/>
      <c r="M38" s="129" t="n"/>
      <c r="N38" s="129" t="n"/>
      <c r="O38" s="124" t="n"/>
      <c r="P38" s="122" t="n"/>
      <c r="Q38" s="130" t="n"/>
      <c r="R38" s="123" t="n"/>
    </row>
    <row r="39" ht="15" customHeight="1" s="95">
      <c r="A39" s="131" t="n"/>
      <c r="B39" s="132" t="n"/>
      <c r="C39" s="132" t="n"/>
      <c r="D39" s="131" t="n"/>
      <c r="E39" s="133" t="n"/>
      <c r="F39" s="134" t="n"/>
      <c r="G39" s="126">
        <f>IFERROR(E39*F39*12,0)</f>
        <v/>
      </c>
      <c r="H39" s="135" t="n"/>
      <c r="I39" s="135" t="n"/>
      <c r="J39" s="135" t="n"/>
      <c r="K39" s="136">
        <f>IFERROR(IF(B39="VACANT",0,(I39-TODAY())/365.25),0)</f>
        <v/>
      </c>
      <c r="L39" s="131" t="n"/>
      <c r="M39" s="137" t="n"/>
      <c r="N39" s="137" t="n"/>
      <c r="O39" s="133" t="n"/>
      <c r="P39" s="131" t="n"/>
      <c r="Q39" s="138" t="n"/>
      <c r="R39" s="132" t="n"/>
    </row>
    <row r="40" ht="15" customHeight="1" s="95">
      <c r="A40" s="122" t="n"/>
      <c r="B40" s="123" t="n"/>
      <c r="C40" s="123" t="n"/>
      <c r="D40" s="122" t="n"/>
      <c r="E40" s="124" t="n"/>
      <c r="F40" s="125" t="n"/>
      <c r="G40" s="126">
        <f>IFERROR(E40*F40*12,0)</f>
        <v/>
      </c>
      <c r="H40" s="127" t="n"/>
      <c r="I40" s="127" t="n"/>
      <c r="J40" s="127" t="n"/>
      <c r="K40" s="128">
        <f>IFERROR(IF(B40="VACANT",0,(I40-TODAY())/365.25),0)</f>
        <v/>
      </c>
      <c r="L40" s="122" t="n"/>
      <c r="M40" s="129" t="n"/>
      <c r="N40" s="129" t="n"/>
      <c r="O40" s="124" t="n"/>
      <c r="P40" s="122" t="n"/>
      <c r="Q40" s="130" t="n"/>
      <c r="R40" s="123" t="n"/>
    </row>
    <row r="41" ht="15" customHeight="1" s="95">
      <c r="A41" s="131" t="n"/>
      <c r="B41" s="132" t="n"/>
      <c r="C41" s="132" t="n"/>
      <c r="D41" s="131" t="n"/>
      <c r="E41" s="133" t="n"/>
      <c r="F41" s="134" t="n"/>
      <c r="G41" s="126">
        <f>IFERROR(E41*F41*12,0)</f>
        <v/>
      </c>
      <c r="H41" s="135" t="n"/>
      <c r="I41" s="135" t="n"/>
      <c r="J41" s="135" t="n"/>
      <c r="K41" s="136">
        <f>IFERROR(IF(B41="VACANT",0,(I41-TODAY())/365.25),0)</f>
        <v/>
      </c>
      <c r="L41" s="131" t="n"/>
      <c r="M41" s="137" t="n"/>
      <c r="N41" s="137" t="n"/>
      <c r="O41" s="133" t="n"/>
      <c r="P41" s="131" t="n"/>
      <c r="Q41" s="138" t="n"/>
      <c r="R41" s="132" t="n"/>
    </row>
    <row r="42" ht="15" customHeight="1" s="95">
      <c r="A42" s="122" t="n"/>
      <c r="B42" s="123" t="n"/>
      <c r="C42" s="123" t="n"/>
      <c r="D42" s="122" t="n"/>
      <c r="E42" s="124" t="n"/>
      <c r="F42" s="125" t="n"/>
      <c r="G42" s="126">
        <f>IFERROR(E42*F42*12,0)</f>
        <v/>
      </c>
      <c r="H42" s="127" t="n"/>
      <c r="I42" s="127" t="n"/>
      <c r="J42" s="127" t="n"/>
      <c r="K42" s="128">
        <f>IFERROR(IF(B42="VACANT",0,(I42-TODAY())/365.25),0)</f>
        <v/>
      </c>
      <c r="L42" s="122" t="n"/>
      <c r="M42" s="129" t="n"/>
      <c r="N42" s="129" t="n"/>
      <c r="O42" s="124" t="n"/>
      <c r="P42" s="122" t="n"/>
      <c r="Q42" s="130" t="n"/>
      <c r="R42" s="123" t="n"/>
    </row>
    <row r="43" ht="15" customHeight="1" s="95">
      <c r="A43" s="131" t="n"/>
      <c r="B43" s="132" t="n"/>
      <c r="C43" s="132" t="n"/>
      <c r="D43" s="131" t="n"/>
      <c r="E43" s="133" t="n"/>
      <c r="F43" s="134" t="n"/>
      <c r="G43" s="126">
        <f>IFERROR(E43*F43*12,0)</f>
        <v/>
      </c>
      <c r="H43" s="135" t="n"/>
      <c r="I43" s="135" t="n"/>
      <c r="J43" s="135" t="n"/>
      <c r="K43" s="136">
        <f>IFERROR(IF(B43="VACANT",0,(I43-TODAY())/365.25),0)</f>
        <v/>
      </c>
      <c r="L43" s="131" t="n"/>
      <c r="M43" s="137" t="n"/>
      <c r="N43" s="137" t="n"/>
      <c r="O43" s="133" t="n"/>
      <c r="P43" s="131" t="n"/>
      <c r="Q43" s="138" t="n"/>
      <c r="R43" s="132" t="n"/>
    </row>
    <row r="44" ht="15" customHeight="1" s="95">
      <c r="A44" s="122" t="n"/>
      <c r="B44" s="123" t="n"/>
      <c r="C44" s="123" t="n"/>
      <c r="D44" s="122" t="n"/>
      <c r="E44" s="124" t="n"/>
      <c r="F44" s="125" t="n"/>
      <c r="G44" s="126">
        <f>IFERROR(E44*F44*12,0)</f>
        <v/>
      </c>
      <c r="H44" s="127" t="n"/>
      <c r="I44" s="127" t="n"/>
      <c r="J44" s="127" t="n"/>
      <c r="K44" s="128">
        <f>IFERROR(IF(B44="VACANT",0,(I44-TODAY())/365.25),0)</f>
        <v/>
      </c>
      <c r="L44" s="122" t="n"/>
      <c r="M44" s="129" t="n"/>
      <c r="N44" s="129" t="n"/>
      <c r="O44" s="124" t="n"/>
      <c r="P44" s="122" t="n"/>
      <c r="Q44" s="130" t="n"/>
      <c r="R44" s="123" t="n"/>
    </row>
    <row r="45" ht="15" customHeight="1" s="95">
      <c r="A45" s="131" t="n"/>
      <c r="B45" s="132" t="n"/>
      <c r="C45" s="132" t="n"/>
      <c r="D45" s="131" t="n"/>
      <c r="E45" s="133" t="n"/>
      <c r="F45" s="134" t="n"/>
      <c r="G45" s="126">
        <f>IFERROR(E45*F45*12,0)</f>
        <v/>
      </c>
      <c r="H45" s="135" t="n"/>
      <c r="I45" s="135" t="n"/>
      <c r="J45" s="135" t="n"/>
      <c r="K45" s="136">
        <f>IFERROR(IF(B45="VACANT",0,(I45-TODAY())/365.25),0)</f>
        <v/>
      </c>
      <c r="L45" s="131" t="n"/>
      <c r="M45" s="137" t="n"/>
      <c r="N45" s="137" t="n"/>
      <c r="O45" s="133" t="n"/>
      <c r="P45" s="131" t="n"/>
      <c r="Q45" s="138" t="n"/>
      <c r="R45" s="132" t="n"/>
    </row>
    <row r="46" ht="15" customHeight="1" s="95">
      <c r="A46" s="122" t="n"/>
      <c r="B46" s="123" t="n"/>
      <c r="C46" s="123" t="n"/>
      <c r="D46" s="122" t="n"/>
      <c r="E46" s="124" t="n"/>
      <c r="F46" s="125" t="n"/>
      <c r="G46" s="126">
        <f>IFERROR(E46*F46*12,0)</f>
        <v/>
      </c>
      <c r="H46" s="127" t="n"/>
      <c r="I46" s="127" t="n"/>
      <c r="J46" s="127" t="n"/>
      <c r="K46" s="128">
        <f>IFERROR(IF(B46="VACANT",0,(I46-TODAY())/365.25),0)</f>
        <v/>
      </c>
      <c r="L46" s="122" t="n"/>
      <c r="M46" s="129" t="n"/>
      <c r="N46" s="129" t="n"/>
      <c r="O46" s="124" t="n"/>
      <c r="P46" s="122" t="n"/>
      <c r="Q46" s="130" t="n"/>
      <c r="R46" s="123" t="n"/>
    </row>
    <row r="47" ht="15" customHeight="1" s="95">
      <c r="A47" s="131" t="n"/>
      <c r="B47" s="132" t="n"/>
      <c r="C47" s="132" t="n"/>
      <c r="D47" s="131" t="n"/>
      <c r="E47" s="133" t="n"/>
      <c r="F47" s="134" t="n"/>
      <c r="G47" s="126">
        <f>IFERROR(E47*F47*12,0)</f>
        <v/>
      </c>
      <c r="H47" s="135" t="n"/>
      <c r="I47" s="135" t="n"/>
      <c r="J47" s="135" t="n"/>
      <c r="K47" s="136">
        <f>IFERROR(IF(B47="VACANT",0,(I47-TODAY())/365.25),0)</f>
        <v/>
      </c>
      <c r="L47" s="131" t="n"/>
      <c r="M47" s="137" t="n"/>
      <c r="N47" s="137" t="n"/>
      <c r="O47" s="133" t="n"/>
      <c r="P47" s="131" t="n"/>
      <c r="Q47" s="138" t="n"/>
      <c r="R47" s="132" t="n"/>
    </row>
    <row r="48" ht="15" customHeight="1" s="95">
      <c r="A48" s="122" t="n"/>
      <c r="B48" s="123" t="n"/>
      <c r="C48" s="123" t="n"/>
      <c r="D48" s="122" t="n"/>
      <c r="E48" s="124" t="n"/>
      <c r="F48" s="125" t="n"/>
      <c r="G48" s="126">
        <f>IFERROR(E48*F48*12,0)</f>
        <v/>
      </c>
      <c r="H48" s="127" t="n"/>
      <c r="I48" s="127" t="n"/>
      <c r="J48" s="127" t="n"/>
      <c r="K48" s="128">
        <f>IFERROR(IF(B48="VACANT",0,(I48-TODAY())/365.25),0)</f>
        <v/>
      </c>
      <c r="L48" s="122" t="n"/>
      <c r="M48" s="129" t="n"/>
      <c r="N48" s="129" t="n"/>
      <c r="O48" s="124" t="n"/>
      <c r="P48" s="122" t="n"/>
      <c r="Q48" s="130" t="n"/>
      <c r="R48" s="123" t="n"/>
    </row>
    <row r="49" ht="15" customHeight="1" s="95">
      <c r="A49" s="131" t="n"/>
      <c r="B49" s="132" t="n"/>
      <c r="C49" s="132" t="n"/>
      <c r="D49" s="131" t="n"/>
      <c r="E49" s="133" t="n"/>
      <c r="F49" s="134" t="n"/>
      <c r="G49" s="126">
        <f>IFERROR(E49*F49*12,0)</f>
        <v/>
      </c>
      <c r="H49" s="135" t="n"/>
      <c r="I49" s="135" t="n"/>
      <c r="J49" s="135" t="n"/>
      <c r="K49" s="136">
        <f>IFERROR(IF(B49="VACANT",0,(I49-TODAY())/365.25),0)</f>
        <v/>
      </c>
      <c r="L49" s="131" t="n"/>
      <c r="M49" s="137" t="n"/>
      <c r="N49" s="137" t="n"/>
      <c r="O49" s="133" t="n"/>
      <c r="P49" s="131" t="n"/>
      <c r="Q49" s="138" t="n"/>
      <c r="R49" s="132" t="n"/>
    </row>
    <row r="50" ht="15" customHeight="1" s="95">
      <c r="A50" s="122" t="n"/>
      <c r="B50" s="123" t="n"/>
      <c r="C50" s="123" t="n"/>
      <c r="D50" s="122" t="n"/>
      <c r="E50" s="124" t="n"/>
      <c r="F50" s="125" t="n"/>
      <c r="G50" s="126">
        <f>IFERROR(E50*F50*12,0)</f>
        <v/>
      </c>
      <c r="H50" s="127" t="n"/>
      <c r="I50" s="127" t="n"/>
      <c r="J50" s="127" t="n"/>
      <c r="K50" s="128">
        <f>IFERROR(IF(B50="VACANT",0,(I50-TODAY())/365.25),0)</f>
        <v/>
      </c>
      <c r="L50" s="122" t="n"/>
      <c r="M50" s="129" t="n"/>
      <c r="N50" s="129" t="n"/>
      <c r="O50" s="124" t="n"/>
      <c r="P50" s="122" t="n"/>
      <c r="Q50" s="130" t="n"/>
      <c r="R50" s="123" t="n"/>
    </row>
    <row r="51" ht="15" customHeight="1" s="95">
      <c r="A51" s="131" t="n"/>
      <c r="B51" s="132" t="n"/>
      <c r="C51" s="132" t="n"/>
      <c r="D51" s="131" t="n"/>
      <c r="E51" s="133" t="n"/>
      <c r="F51" s="134" t="n"/>
      <c r="G51" s="126">
        <f>IFERROR(E51*F51*12,0)</f>
        <v/>
      </c>
      <c r="H51" s="135" t="n"/>
      <c r="I51" s="135" t="n"/>
      <c r="J51" s="135" t="n"/>
      <c r="K51" s="136">
        <f>IFERROR(IF(B51="VACANT",0,(I51-TODAY())/365.25),0)</f>
        <v/>
      </c>
      <c r="L51" s="131" t="n"/>
      <c r="M51" s="137" t="n"/>
      <c r="N51" s="137" t="n"/>
      <c r="O51" s="133" t="n"/>
      <c r="P51" s="131" t="n"/>
      <c r="Q51" s="138" t="n"/>
      <c r="R51" s="132" t="n"/>
    </row>
    <row r="52" ht="15" customHeight="1" s="95">
      <c r="A52" s="122" t="n"/>
      <c r="B52" s="123" t="n"/>
      <c r="C52" s="123" t="n"/>
      <c r="D52" s="122" t="n"/>
      <c r="E52" s="124" t="n"/>
      <c r="F52" s="125" t="n"/>
      <c r="G52" s="126">
        <f>IFERROR(E52*F52*12,0)</f>
        <v/>
      </c>
      <c r="H52" s="127" t="n"/>
      <c r="I52" s="127" t="n"/>
      <c r="J52" s="127" t="n"/>
      <c r="K52" s="128">
        <f>IFERROR(IF(B52="VACANT",0,(I52-TODAY())/365.25),0)</f>
        <v/>
      </c>
      <c r="L52" s="122" t="n"/>
      <c r="M52" s="129" t="n"/>
      <c r="N52" s="129" t="n"/>
      <c r="O52" s="124" t="n"/>
      <c r="P52" s="122" t="n"/>
      <c r="Q52" s="130" t="n"/>
      <c r="R52" s="123" t="n"/>
    </row>
    <row r="53" ht="15" customHeight="1" s="95">
      <c r="A53" s="131" t="n"/>
      <c r="B53" s="132" t="n"/>
      <c r="C53" s="132" t="n"/>
      <c r="D53" s="131" t="n"/>
      <c r="E53" s="133" t="n"/>
      <c r="F53" s="134" t="n"/>
      <c r="G53" s="126">
        <f>IFERROR(E53*F53*12,0)</f>
        <v/>
      </c>
      <c r="H53" s="135" t="n"/>
      <c r="I53" s="135" t="n"/>
      <c r="J53" s="135" t="n"/>
      <c r="K53" s="136">
        <f>IFERROR(IF(B53="VACANT",0,(I53-TODAY())/365.25),0)</f>
        <v/>
      </c>
      <c r="L53" s="131" t="n"/>
      <c r="M53" s="137" t="n"/>
      <c r="N53" s="137" t="n"/>
      <c r="O53" s="133" t="n"/>
      <c r="P53" s="131" t="n"/>
      <c r="Q53" s="138" t="n"/>
      <c r="R53" s="132" t="n"/>
    </row>
    <row r="54" ht="15" customHeight="1" s="95">
      <c r="A54" s="122" t="n"/>
      <c r="B54" s="123" t="n"/>
      <c r="C54" s="123" t="n"/>
      <c r="D54" s="122" t="n"/>
      <c r="E54" s="124" t="n"/>
      <c r="F54" s="125" t="n"/>
      <c r="G54" s="126">
        <f>IFERROR(E54*F54*12,0)</f>
        <v/>
      </c>
      <c r="H54" s="127" t="n"/>
      <c r="I54" s="127" t="n"/>
      <c r="J54" s="127" t="n"/>
      <c r="K54" s="128">
        <f>IFERROR(IF(B54="VACANT",0,(I54-TODAY())/365.25),0)</f>
        <v/>
      </c>
      <c r="L54" s="122" t="n"/>
      <c r="M54" s="129" t="n"/>
      <c r="N54" s="129" t="n"/>
      <c r="O54" s="124" t="n"/>
      <c r="P54" s="122" t="n"/>
      <c r="Q54" s="130" t="n"/>
      <c r="R54" s="123" t="n"/>
    </row>
    <row r="55" ht="15" customHeight="1" s="95">
      <c r="A55" s="131" t="n"/>
      <c r="B55" s="132" t="n"/>
      <c r="C55" s="132" t="n"/>
      <c r="D55" s="131" t="n"/>
      <c r="E55" s="133" t="n"/>
      <c r="F55" s="134" t="n"/>
      <c r="G55" s="126">
        <f>IFERROR(E55*F55*12,0)</f>
        <v/>
      </c>
      <c r="H55" s="135" t="n"/>
      <c r="I55" s="135" t="n"/>
      <c r="J55" s="135" t="n"/>
      <c r="K55" s="136">
        <f>IFERROR(IF(B55="VACANT",0,(I55-TODAY())/365.25),0)</f>
        <v/>
      </c>
      <c r="L55" s="131" t="n"/>
      <c r="M55" s="137" t="n"/>
      <c r="N55" s="137" t="n"/>
      <c r="O55" s="133" t="n"/>
      <c r="P55" s="131" t="n"/>
      <c r="Q55" s="138" t="n"/>
      <c r="R55" s="132" t="n"/>
    </row>
    <row r="56" ht="15" customHeight="1" s="95">
      <c r="A56" s="122" t="n"/>
      <c r="B56" s="123" t="n"/>
      <c r="C56" s="123" t="n"/>
      <c r="D56" s="122" t="n"/>
      <c r="E56" s="124" t="n"/>
      <c r="F56" s="125" t="n"/>
      <c r="G56" s="126">
        <f>IFERROR(E56*F56*12,0)</f>
        <v/>
      </c>
      <c r="H56" s="127" t="n"/>
      <c r="I56" s="127" t="n"/>
      <c r="J56" s="127" t="n"/>
      <c r="K56" s="128">
        <f>IFERROR(IF(B56="VACANT",0,(I56-TODAY())/365.25),0)</f>
        <v/>
      </c>
      <c r="L56" s="122" t="n"/>
      <c r="M56" s="129" t="n"/>
      <c r="N56" s="129" t="n"/>
      <c r="O56" s="124" t="n"/>
      <c r="P56" s="122" t="n"/>
      <c r="Q56" s="130" t="n"/>
      <c r="R56" s="123" t="n"/>
    </row>
    <row r="57" ht="15" customHeight="1" s="95">
      <c r="A57" s="131" t="n"/>
      <c r="B57" s="132" t="n"/>
      <c r="C57" s="132" t="n"/>
      <c r="D57" s="131" t="n"/>
      <c r="E57" s="133" t="n"/>
      <c r="F57" s="134" t="n"/>
      <c r="G57" s="126">
        <f>IFERROR(E57*F57*12,0)</f>
        <v/>
      </c>
      <c r="H57" s="135" t="n"/>
      <c r="I57" s="135" t="n"/>
      <c r="J57" s="135" t="n"/>
      <c r="K57" s="136">
        <f>IFERROR(IF(B57="VACANT",0,(I57-TODAY())/365.25),0)</f>
        <v/>
      </c>
      <c r="L57" s="131" t="n"/>
      <c r="M57" s="137" t="n"/>
      <c r="N57" s="137" t="n"/>
      <c r="O57" s="133" t="n"/>
      <c r="P57" s="131" t="n"/>
      <c r="Q57" s="138" t="n"/>
      <c r="R57" s="132" t="n"/>
    </row>
    <row r="58" ht="15" customHeight="1" s="95">
      <c r="A58" s="122" t="n"/>
      <c r="B58" s="123" t="n"/>
      <c r="C58" s="123" t="n"/>
      <c r="D58" s="122" t="n"/>
      <c r="E58" s="124" t="n"/>
      <c r="F58" s="125" t="n"/>
      <c r="G58" s="126">
        <f>IFERROR(E58*F58*12,0)</f>
        <v/>
      </c>
      <c r="H58" s="127" t="n"/>
      <c r="I58" s="127" t="n"/>
      <c r="J58" s="127" t="n"/>
      <c r="K58" s="128">
        <f>IFERROR(IF(B58="VACANT",0,(I58-TODAY())/365.25),0)</f>
        <v/>
      </c>
      <c r="L58" s="122" t="n"/>
      <c r="M58" s="129" t="n"/>
      <c r="N58" s="129" t="n"/>
      <c r="O58" s="124" t="n"/>
      <c r="P58" s="122" t="n"/>
      <c r="Q58" s="130" t="n"/>
      <c r="R58" s="123" t="n"/>
    </row>
    <row r="59" ht="15" customHeight="1" s="95">
      <c r="A59" s="131" t="n"/>
      <c r="B59" s="132" t="n"/>
      <c r="C59" s="132" t="n"/>
      <c r="D59" s="131" t="n"/>
      <c r="E59" s="133" t="n"/>
      <c r="F59" s="134" t="n"/>
      <c r="G59" s="126">
        <f>IFERROR(E59*F59*12,0)</f>
        <v/>
      </c>
      <c r="H59" s="135" t="n"/>
      <c r="I59" s="135" t="n"/>
      <c r="J59" s="135" t="n"/>
      <c r="K59" s="136">
        <f>IFERROR(IF(B59="VACANT",0,(I59-TODAY())/365.25),0)</f>
        <v/>
      </c>
      <c r="L59" s="131" t="n"/>
      <c r="M59" s="137" t="n"/>
      <c r="N59" s="137" t="n"/>
      <c r="O59" s="133" t="n"/>
      <c r="P59" s="131" t="n"/>
      <c r="Q59" s="138" t="n"/>
      <c r="R59" s="132" t="n"/>
    </row>
    <row r="60" ht="15" customHeight="1" s="95">
      <c r="A60" s="122" t="n"/>
      <c r="B60" s="123" t="n"/>
      <c r="C60" s="123" t="n"/>
      <c r="D60" s="122" t="n"/>
      <c r="E60" s="124" t="n"/>
      <c r="F60" s="125" t="n"/>
      <c r="G60" s="126">
        <f>IFERROR(E60*F60*12,0)</f>
        <v/>
      </c>
      <c r="H60" s="127" t="n"/>
      <c r="I60" s="127" t="n"/>
      <c r="J60" s="127" t="n"/>
      <c r="K60" s="128">
        <f>IFERROR(IF(B60="VACANT",0,(I60-TODAY())/365.25),0)</f>
        <v/>
      </c>
      <c r="L60" s="122" t="n"/>
      <c r="M60" s="129" t="n"/>
      <c r="N60" s="129" t="n"/>
      <c r="O60" s="124" t="n"/>
      <c r="P60" s="122" t="n"/>
      <c r="Q60" s="130" t="n"/>
      <c r="R60" s="123" t="n"/>
    </row>
    <row r="61" ht="15" customHeight="1" s="95">
      <c r="A61" s="131" t="n"/>
      <c r="B61" s="132" t="n"/>
      <c r="C61" s="132" t="n"/>
      <c r="D61" s="131" t="n"/>
      <c r="E61" s="133" t="n"/>
      <c r="F61" s="134" t="n"/>
      <c r="G61" s="126">
        <f>IFERROR(E61*F61*12,0)</f>
        <v/>
      </c>
      <c r="H61" s="135" t="n"/>
      <c r="I61" s="135" t="n"/>
      <c r="J61" s="135" t="n"/>
      <c r="K61" s="136">
        <f>IFERROR(IF(B61="VACANT",0,(I61-TODAY())/365.25),0)</f>
        <v/>
      </c>
      <c r="L61" s="131" t="n"/>
      <c r="M61" s="137" t="n"/>
      <c r="N61" s="137" t="n"/>
      <c r="O61" s="133" t="n"/>
      <c r="P61" s="131" t="n"/>
      <c r="Q61" s="138" t="n"/>
      <c r="R61" s="132" t="n"/>
    </row>
    <row r="62" ht="15" customHeight="1" s="95">
      <c r="A62" s="122" t="n"/>
      <c r="B62" s="123" t="n"/>
      <c r="C62" s="123" t="n"/>
      <c r="D62" s="122" t="n"/>
      <c r="E62" s="124" t="n"/>
      <c r="F62" s="125" t="n"/>
      <c r="G62" s="126">
        <f>IFERROR(E62*F62*12,0)</f>
        <v/>
      </c>
      <c r="H62" s="127" t="n"/>
      <c r="I62" s="127" t="n"/>
      <c r="J62" s="127" t="n"/>
      <c r="K62" s="128">
        <f>IFERROR(IF(B62="VACANT",0,(I62-TODAY())/365.25),0)</f>
        <v/>
      </c>
      <c r="L62" s="122" t="n"/>
      <c r="M62" s="129" t="n"/>
      <c r="N62" s="129" t="n"/>
      <c r="O62" s="124" t="n"/>
      <c r="P62" s="122" t="n"/>
      <c r="Q62" s="130" t="n"/>
      <c r="R62" s="123" t="n"/>
    </row>
    <row r="63" ht="15" customHeight="1" s="95">
      <c r="A63" s="131" t="n"/>
      <c r="B63" s="132" t="n"/>
      <c r="C63" s="132" t="n"/>
      <c r="D63" s="131" t="n"/>
      <c r="E63" s="133" t="n"/>
      <c r="F63" s="134" t="n"/>
      <c r="G63" s="126">
        <f>IFERROR(E63*F63*12,0)</f>
        <v/>
      </c>
      <c r="H63" s="135" t="n"/>
      <c r="I63" s="135" t="n"/>
      <c r="J63" s="135" t="n"/>
      <c r="K63" s="136">
        <f>IFERROR(IF(B63="VACANT",0,(I63-TODAY())/365.25),0)</f>
        <v/>
      </c>
      <c r="L63" s="131" t="n"/>
      <c r="M63" s="137" t="n"/>
      <c r="N63" s="137" t="n"/>
      <c r="O63" s="133" t="n"/>
      <c r="P63" s="131" t="n"/>
      <c r="Q63" s="138" t="n"/>
      <c r="R63" s="132" t="n"/>
    </row>
    <row r="64" ht="15" customHeight="1" s="95">
      <c r="A64" s="122" t="n"/>
      <c r="B64" s="123" t="n"/>
      <c r="C64" s="123" t="n"/>
      <c r="D64" s="122" t="n"/>
      <c r="E64" s="124" t="n"/>
      <c r="F64" s="125" t="n"/>
      <c r="G64" s="126">
        <f>IFERROR(E64*F64*12,0)</f>
        <v/>
      </c>
      <c r="H64" s="127" t="n"/>
      <c r="I64" s="127" t="n"/>
      <c r="J64" s="127" t="n"/>
      <c r="K64" s="128">
        <f>IFERROR(IF(B64="VACANT",0,(I64-TODAY())/365.25),0)</f>
        <v/>
      </c>
      <c r="L64" s="122" t="n"/>
      <c r="M64" s="129" t="n"/>
      <c r="N64" s="129" t="n"/>
      <c r="O64" s="124" t="n"/>
      <c r="P64" s="122" t="n"/>
      <c r="Q64" s="130" t="n"/>
      <c r="R64" s="123" t="n"/>
    </row>
    <row r="65" ht="15" customHeight="1" s="95">
      <c r="A65" s="131" t="n"/>
      <c r="B65" s="132" t="n"/>
      <c r="C65" s="132" t="n"/>
      <c r="D65" s="131" t="n"/>
      <c r="E65" s="133" t="n"/>
      <c r="F65" s="134" t="n"/>
      <c r="G65" s="126">
        <f>IFERROR(E65*F65*12,0)</f>
        <v/>
      </c>
      <c r="H65" s="135" t="n"/>
      <c r="I65" s="135" t="n"/>
      <c r="J65" s="135" t="n"/>
      <c r="K65" s="136">
        <f>IFERROR(IF(B65="VACANT",0,(I65-TODAY())/365.25),0)</f>
        <v/>
      </c>
      <c r="L65" s="131" t="n"/>
      <c r="M65" s="137" t="n"/>
      <c r="N65" s="137" t="n"/>
      <c r="O65" s="133" t="n"/>
      <c r="P65" s="131" t="n"/>
      <c r="Q65" s="138" t="n"/>
      <c r="R65" s="132" t="n"/>
    </row>
    <row r="66" ht="15" customHeight="1" s="95">
      <c r="A66" s="122" t="n"/>
      <c r="B66" s="123" t="n"/>
      <c r="C66" s="123" t="n"/>
      <c r="D66" s="122" t="n"/>
      <c r="E66" s="124" t="n"/>
      <c r="F66" s="125" t="n"/>
      <c r="G66" s="126">
        <f>IFERROR(E66*F66*12,0)</f>
        <v/>
      </c>
      <c r="H66" s="127" t="n"/>
      <c r="I66" s="127" t="n"/>
      <c r="J66" s="127" t="n"/>
      <c r="K66" s="128">
        <f>IFERROR(IF(B66="VACANT",0,(I66-TODAY())/365.25),0)</f>
        <v/>
      </c>
      <c r="L66" s="122" t="n"/>
      <c r="M66" s="129" t="n"/>
      <c r="N66" s="129" t="n"/>
      <c r="O66" s="124" t="n"/>
      <c r="P66" s="122" t="n"/>
      <c r="Q66" s="130" t="n"/>
      <c r="R66" s="123" t="n"/>
    </row>
    <row r="67" ht="15" customHeight="1" s="95">
      <c r="A67" s="131" t="n"/>
      <c r="B67" s="132" t="n"/>
      <c r="C67" s="132" t="n"/>
      <c r="D67" s="131" t="n"/>
      <c r="E67" s="133" t="n"/>
      <c r="F67" s="134" t="n"/>
      <c r="G67" s="126">
        <f>IFERROR(E67*F67*12,0)</f>
        <v/>
      </c>
      <c r="H67" s="135" t="n"/>
      <c r="I67" s="135" t="n"/>
      <c r="J67" s="135" t="n"/>
      <c r="K67" s="136">
        <f>IFERROR(IF(B67="VACANT",0,(I67-TODAY())/365.25),0)</f>
        <v/>
      </c>
      <c r="L67" s="131" t="n"/>
      <c r="M67" s="137" t="n"/>
      <c r="N67" s="137" t="n"/>
      <c r="O67" s="133" t="n"/>
      <c r="P67" s="131" t="n"/>
      <c r="Q67" s="138" t="n"/>
      <c r="R67" s="132" t="n"/>
    </row>
    <row r="68" ht="15" customHeight="1" s="95">
      <c r="A68" s="122" t="n"/>
      <c r="B68" s="123" t="n"/>
      <c r="C68" s="123" t="n"/>
      <c r="D68" s="122" t="n"/>
      <c r="E68" s="124" t="n"/>
      <c r="F68" s="125" t="n"/>
      <c r="G68" s="126">
        <f>IFERROR(E68*F68*12,0)</f>
        <v/>
      </c>
      <c r="H68" s="127" t="n"/>
      <c r="I68" s="127" t="n"/>
      <c r="J68" s="127" t="n"/>
      <c r="K68" s="128">
        <f>IFERROR(IF(B68="VACANT",0,(I68-TODAY())/365.25),0)</f>
        <v/>
      </c>
      <c r="L68" s="122" t="n"/>
      <c r="M68" s="129" t="n"/>
      <c r="N68" s="129" t="n"/>
      <c r="O68" s="124" t="n"/>
      <c r="P68" s="122" t="n"/>
      <c r="Q68" s="130" t="n"/>
      <c r="R68" s="123" t="n"/>
    </row>
    <row r="69" ht="15" customHeight="1" s="95">
      <c r="A69" s="131" t="n"/>
      <c r="B69" s="132" t="n"/>
      <c r="C69" s="132" t="n"/>
      <c r="D69" s="131" t="n"/>
      <c r="E69" s="133" t="n"/>
      <c r="F69" s="134" t="n"/>
      <c r="G69" s="126">
        <f>IFERROR(E69*F69*12,0)</f>
        <v/>
      </c>
      <c r="H69" s="135" t="n"/>
      <c r="I69" s="135" t="n"/>
      <c r="J69" s="135" t="n"/>
      <c r="K69" s="136">
        <f>IFERROR(IF(B69="VACANT",0,(I69-TODAY())/365.25),0)</f>
        <v/>
      </c>
      <c r="L69" s="131" t="n"/>
      <c r="M69" s="137" t="n"/>
      <c r="N69" s="137" t="n"/>
      <c r="O69" s="133" t="n"/>
      <c r="P69" s="131" t="n"/>
      <c r="Q69" s="138" t="n"/>
      <c r="R69" s="132" t="n"/>
    </row>
    <row r="70" ht="15" customHeight="1" s="95">
      <c r="A70" s="122" t="n"/>
      <c r="B70" s="123" t="n"/>
      <c r="C70" s="123" t="n"/>
      <c r="D70" s="122" t="n"/>
      <c r="E70" s="124" t="n"/>
      <c r="F70" s="125" t="n"/>
      <c r="G70" s="126">
        <f>IFERROR(E70*F70*12,0)</f>
        <v/>
      </c>
      <c r="H70" s="127" t="n"/>
      <c r="I70" s="127" t="n"/>
      <c r="J70" s="127" t="n"/>
      <c r="K70" s="128">
        <f>IFERROR(IF(B70="VACANT",0,(I70-TODAY())/365.25),0)</f>
        <v/>
      </c>
      <c r="L70" s="122" t="n"/>
      <c r="M70" s="129" t="n"/>
      <c r="N70" s="129" t="n"/>
      <c r="O70" s="124" t="n"/>
      <c r="P70" s="122" t="n"/>
      <c r="Q70" s="130" t="n"/>
      <c r="R70" s="123" t="n"/>
    </row>
    <row r="71" ht="15" customHeight="1" s="95">
      <c r="A71" s="131" t="n"/>
      <c r="B71" s="132" t="n"/>
      <c r="C71" s="132" t="n"/>
      <c r="D71" s="131" t="n"/>
      <c r="E71" s="133" t="n"/>
      <c r="F71" s="134" t="n"/>
      <c r="G71" s="126">
        <f>IFERROR(E71*F71*12,0)</f>
        <v/>
      </c>
      <c r="H71" s="135" t="n"/>
      <c r="I71" s="135" t="n"/>
      <c r="J71" s="135" t="n"/>
      <c r="K71" s="136">
        <f>IFERROR(IF(B71="VACANT",0,(I71-TODAY())/365.25),0)</f>
        <v/>
      </c>
      <c r="L71" s="131" t="n"/>
      <c r="M71" s="137" t="n"/>
      <c r="N71" s="137" t="n"/>
      <c r="O71" s="133" t="n"/>
      <c r="P71" s="131" t="n"/>
      <c r="Q71" s="138" t="n"/>
      <c r="R71" s="132" t="n"/>
    </row>
    <row r="72" ht="15" customHeight="1" s="95">
      <c r="A72" s="122" t="n"/>
      <c r="B72" s="123" t="n"/>
      <c r="C72" s="123" t="n"/>
      <c r="D72" s="122" t="n"/>
      <c r="E72" s="124" t="n"/>
      <c r="F72" s="125" t="n"/>
      <c r="G72" s="126">
        <f>IFERROR(E72*F72*12,0)</f>
        <v/>
      </c>
      <c r="H72" s="127" t="n"/>
      <c r="I72" s="127" t="n"/>
      <c r="J72" s="127" t="n"/>
      <c r="K72" s="128">
        <f>IFERROR(IF(B72="VACANT",0,(I72-TODAY())/365.25),0)</f>
        <v/>
      </c>
      <c r="L72" s="122" t="n"/>
      <c r="M72" s="129" t="n"/>
      <c r="N72" s="129" t="n"/>
      <c r="O72" s="124" t="n"/>
      <c r="P72" s="122" t="n"/>
      <c r="Q72" s="130" t="n"/>
      <c r="R72" s="123" t="n"/>
    </row>
    <row r="73" ht="15" customHeight="1" s="95">
      <c r="A73" s="131" t="n"/>
      <c r="B73" s="132" t="n"/>
      <c r="C73" s="132" t="n"/>
      <c r="D73" s="131" t="n"/>
      <c r="E73" s="133" t="n"/>
      <c r="F73" s="134" t="n"/>
      <c r="G73" s="126">
        <f>IFERROR(E73*F73*12,0)</f>
        <v/>
      </c>
      <c r="H73" s="135" t="n"/>
      <c r="I73" s="135" t="n"/>
      <c r="J73" s="135" t="n"/>
      <c r="K73" s="136">
        <f>IFERROR(IF(B73="VACANT",0,(I73-TODAY())/365.25),0)</f>
        <v/>
      </c>
      <c r="L73" s="131" t="n"/>
      <c r="M73" s="137" t="n"/>
      <c r="N73" s="137" t="n"/>
      <c r="O73" s="133" t="n"/>
      <c r="P73" s="131" t="n"/>
      <c r="Q73" s="138" t="n"/>
      <c r="R73" s="132" t="n"/>
    </row>
    <row r="74" ht="15" customHeight="1" s="95">
      <c r="A74" s="122" t="n"/>
      <c r="B74" s="123" t="n"/>
      <c r="C74" s="123" t="n"/>
      <c r="D74" s="122" t="n"/>
      <c r="E74" s="124" t="n"/>
      <c r="F74" s="125" t="n"/>
      <c r="G74" s="126">
        <f>IFERROR(E74*F74*12,0)</f>
        <v/>
      </c>
      <c r="H74" s="127" t="n"/>
      <c r="I74" s="127" t="n"/>
      <c r="J74" s="127" t="n"/>
      <c r="K74" s="128">
        <f>IFERROR(IF(B74="VACANT",0,(I74-TODAY())/365.25),0)</f>
        <v/>
      </c>
      <c r="L74" s="122" t="n"/>
      <c r="M74" s="129" t="n"/>
      <c r="N74" s="129" t="n"/>
      <c r="O74" s="124" t="n"/>
      <c r="P74" s="122" t="n"/>
      <c r="Q74" s="130" t="n"/>
      <c r="R74" s="123" t="n"/>
    </row>
    <row r="75" ht="15" customHeight="1" s="95">
      <c r="A75" s="131" t="n"/>
      <c r="B75" s="132" t="n"/>
      <c r="C75" s="132" t="n"/>
      <c r="D75" s="131" t="n"/>
      <c r="E75" s="133" t="n"/>
      <c r="F75" s="134" t="n"/>
      <c r="G75" s="126">
        <f>IFERROR(E75*F75*12,0)</f>
        <v/>
      </c>
      <c r="H75" s="135" t="n"/>
      <c r="I75" s="135" t="n"/>
      <c r="J75" s="135" t="n"/>
      <c r="K75" s="136">
        <f>IFERROR(IF(B75="VACANT",0,(I75-TODAY())/365.25),0)</f>
        <v/>
      </c>
      <c r="L75" s="131" t="n"/>
      <c r="M75" s="137" t="n"/>
      <c r="N75" s="137" t="n"/>
      <c r="O75" s="133" t="n"/>
      <c r="P75" s="131" t="n"/>
      <c r="Q75" s="138" t="n"/>
      <c r="R75" s="132" t="n"/>
    </row>
    <row r="76" ht="15" customHeight="1" s="95">
      <c r="A76" s="122" t="n"/>
      <c r="B76" s="123" t="n"/>
      <c r="C76" s="123" t="n"/>
      <c r="D76" s="122" t="n"/>
      <c r="E76" s="124" t="n"/>
      <c r="F76" s="125" t="n"/>
      <c r="G76" s="126">
        <f>IFERROR(E76*F76*12,0)</f>
        <v/>
      </c>
      <c r="H76" s="127" t="n"/>
      <c r="I76" s="127" t="n"/>
      <c r="J76" s="127" t="n"/>
      <c r="K76" s="128">
        <f>IFERROR(IF(B76="VACANT",0,(I76-TODAY())/365.25),0)</f>
        <v/>
      </c>
      <c r="L76" s="122" t="n"/>
      <c r="M76" s="129" t="n"/>
      <c r="N76" s="129" t="n"/>
      <c r="O76" s="124" t="n"/>
      <c r="P76" s="122" t="n"/>
      <c r="Q76" s="130" t="n"/>
      <c r="R76" s="123" t="n"/>
    </row>
    <row r="77" ht="15" customHeight="1" s="95">
      <c r="A77" s="131" t="n"/>
      <c r="B77" s="132" t="n"/>
      <c r="C77" s="132" t="n"/>
      <c r="D77" s="131" t="n"/>
      <c r="E77" s="133" t="n"/>
      <c r="F77" s="134" t="n"/>
      <c r="G77" s="126">
        <f>IFERROR(E77*F77*12,0)</f>
        <v/>
      </c>
      <c r="H77" s="135" t="n"/>
      <c r="I77" s="135" t="n"/>
      <c r="J77" s="135" t="n"/>
      <c r="K77" s="136">
        <f>IFERROR(IF(B77="VACANT",0,(I77-TODAY())/365.25),0)</f>
        <v/>
      </c>
      <c r="L77" s="131" t="n"/>
      <c r="M77" s="137" t="n"/>
      <c r="N77" s="137" t="n"/>
      <c r="O77" s="133" t="n"/>
      <c r="P77" s="131" t="n"/>
      <c r="Q77" s="138" t="n"/>
      <c r="R77" s="132" t="n"/>
    </row>
    <row r="78" ht="15" customHeight="1" s="95">
      <c r="A78" s="122" t="n"/>
      <c r="B78" s="123" t="n"/>
      <c r="C78" s="123" t="n"/>
      <c r="D78" s="122" t="n"/>
      <c r="E78" s="124" t="n"/>
      <c r="F78" s="125" t="n"/>
      <c r="G78" s="126">
        <f>IFERROR(E78*F78*12,0)</f>
        <v/>
      </c>
      <c r="H78" s="127" t="n"/>
      <c r="I78" s="127" t="n"/>
      <c r="J78" s="127" t="n"/>
      <c r="K78" s="128">
        <f>IFERROR(IF(B78="VACANT",0,(I78-TODAY())/365.25),0)</f>
        <v/>
      </c>
      <c r="L78" s="122" t="n"/>
      <c r="M78" s="129" t="n"/>
      <c r="N78" s="129" t="n"/>
      <c r="O78" s="124" t="n"/>
      <c r="P78" s="122" t="n"/>
      <c r="Q78" s="130" t="n"/>
      <c r="R78" s="123" t="n"/>
    </row>
    <row r="79" ht="15" customHeight="1" s="95">
      <c r="A79" s="131" t="n"/>
      <c r="B79" s="132" t="n"/>
      <c r="C79" s="132" t="n"/>
      <c r="D79" s="131" t="n"/>
      <c r="E79" s="133" t="n"/>
      <c r="F79" s="134" t="n"/>
      <c r="G79" s="126">
        <f>IFERROR(E79*F79*12,0)</f>
        <v/>
      </c>
      <c r="H79" s="135" t="n"/>
      <c r="I79" s="135" t="n"/>
      <c r="J79" s="135" t="n"/>
      <c r="K79" s="136">
        <f>IFERROR(IF(B79="VACANT",0,(I79-TODAY())/365.25),0)</f>
        <v/>
      </c>
      <c r="L79" s="131" t="n"/>
      <c r="M79" s="137" t="n"/>
      <c r="N79" s="137" t="n"/>
      <c r="O79" s="133" t="n"/>
      <c r="P79" s="131" t="n"/>
      <c r="Q79" s="138" t="n"/>
      <c r="R79" s="132" t="n"/>
    </row>
    <row r="80" ht="15" customHeight="1" s="95">
      <c r="A80" s="122" t="n"/>
      <c r="B80" s="123" t="n"/>
      <c r="C80" s="123" t="n"/>
      <c r="D80" s="122" t="n"/>
      <c r="E80" s="124" t="n"/>
      <c r="F80" s="125" t="n"/>
      <c r="G80" s="126">
        <f>IFERROR(E80*F80*12,0)</f>
        <v/>
      </c>
      <c r="H80" s="127" t="n"/>
      <c r="I80" s="127" t="n"/>
      <c r="J80" s="127" t="n"/>
      <c r="K80" s="128">
        <f>IFERROR(IF(B80="VACANT",0,(I80-TODAY())/365.25),0)</f>
        <v/>
      </c>
      <c r="L80" s="122" t="n"/>
      <c r="M80" s="129" t="n"/>
      <c r="N80" s="129" t="n"/>
      <c r="O80" s="124" t="n"/>
      <c r="P80" s="122" t="n"/>
      <c r="Q80" s="130" t="n"/>
      <c r="R80" s="123" t="n"/>
    </row>
    <row r="81" ht="15" customHeight="1" s="95">
      <c r="A81" s="131" t="n"/>
      <c r="B81" s="132" t="n"/>
      <c r="C81" s="132" t="n"/>
      <c r="D81" s="131" t="n"/>
      <c r="E81" s="133" t="n"/>
      <c r="F81" s="134" t="n"/>
      <c r="G81" s="126">
        <f>IFERROR(E81*F81*12,0)</f>
        <v/>
      </c>
      <c r="H81" s="135" t="n"/>
      <c r="I81" s="135" t="n"/>
      <c r="J81" s="135" t="n"/>
      <c r="K81" s="136">
        <f>IFERROR(IF(B81="VACANT",0,(I81-TODAY())/365.25),0)</f>
        <v/>
      </c>
      <c r="L81" s="131" t="n"/>
      <c r="M81" s="137" t="n"/>
      <c r="N81" s="137" t="n"/>
      <c r="O81" s="133" t="n"/>
      <c r="P81" s="131" t="n"/>
      <c r="Q81" s="138" t="n"/>
      <c r="R81" s="132" t="n"/>
    </row>
    <row r="82" ht="15" customHeight="1" s="95">
      <c r="A82" s="122" t="n"/>
      <c r="B82" s="123" t="n"/>
      <c r="C82" s="123" t="n"/>
      <c r="D82" s="122" t="n"/>
      <c r="E82" s="124" t="n"/>
      <c r="F82" s="125" t="n"/>
      <c r="G82" s="126">
        <f>IFERROR(E82*F82*12,0)</f>
        <v/>
      </c>
      <c r="H82" s="127" t="n"/>
      <c r="I82" s="127" t="n"/>
      <c r="J82" s="127" t="n"/>
      <c r="K82" s="128">
        <f>IFERROR(IF(B82="VACANT",0,(I82-TODAY())/365.25),0)</f>
        <v/>
      </c>
      <c r="L82" s="122" t="n"/>
      <c r="M82" s="129" t="n"/>
      <c r="N82" s="129" t="n"/>
      <c r="O82" s="124" t="n"/>
      <c r="P82" s="122" t="n"/>
      <c r="Q82" s="130" t="n"/>
      <c r="R82" s="123" t="n"/>
    </row>
    <row r="83" ht="15" customHeight="1" s="95">
      <c r="A83" s="131" t="n"/>
      <c r="B83" s="132" t="n"/>
      <c r="C83" s="132" t="n"/>
      <c r="D83" s="131" t="n"/>
      <c r="E83" s="133" t="n"/>
      <c r="F83" s="134" t="n"/>
      <c r="G83" s="126">
        <f>IFERROR(E83*F83*12,0)</f>
        <v/>
      </c>
      <c r="H83" s="135" t="n"/>
      <c r="I83" s="135" t="n"/>
      <c r="J83" s="135" t="n"/>
      <c r="K83" s="136">
        <f>IFERROR(IF(B83="VACANT",0,(I83-TODAY())/365.25),0)</f>
        <v/>
      </c>
      <c r="L83" s="131" t="n"/>
      <c r="M83" s="137" t="n"/>
      <c r="N83" s="137" t="n"/>
      <c r="O83" s="133" t="n"/>
      <c r="P83" s="131" t="n"/>
      <c r="Q83" s="138" t="n"/>
      <c r="R83" s="132" t="n"/>
    </row>
    <row r="84" ht="15" customHeight="1" s="95">
      <c r="A84" s="122" t="n"/>
      <c r="B84" s="123" t="n"/>
      <c r="C84" s="123" t="n"/>
      <c r="D84" s="122" t="n"/>
      <c r="E84" s="124" t="n"/>
      <c r="F84" s="125" t="n"/>
      <c r="G84" s="126">
        <f>IFERROR(E84*F84*12,0)</f>
        <v/>
      </c>
      <c r="H84" s="127" t="n"/>
      <c r="I84" s="127" t="n"/>
      <c r="J84" s="127" t="n"/>
      <c r="K84" s="128">
        <f>IFERROR(IF(B84="VACANT",0,(I84-TODAY())/365.25),0)</f>
        <v/>
      </c>
      <c r="L84" s="122" t="n"/>
      <c r="M84" s="129" t="n"/>
      <c r="N84" s="129" t="n"/>
      <c r="O84" s="124" t="n"/>
      <c r="P84" s="122" t="n"/>
      <c r="Q84" s="130" t="n"/>
      <c r="R84" s="123" t="n"/>
    </row>
    <row r="85" ht="15" customHeight="1" s="95">
      <c r="A85" s="131" t="n"/>
      <c r="B85" s="132" t="n"/>
      <c r="C85" s="132" t="n"/>
      <c r="D85" s="131" t="n"/>
      <c r="E85" s="133" t="n"/>
      <c r="F85" s="134" t="n"/>
      <c r="G85" s="126">
        <f>IFERROR(E85*F85*12,0)</f>
        <v/>
      </c>
      <c r="H85" s="135" t="n"/>
      <c r="I85" s="135" t="n"/>
      <c r="J85" s="135" t="n"/>
      <c r="K85" s="136">
        <f>IFERROR(IF(B85="VACANT",0,(I85-TODAY())/365.25),0)</f>
        <v/>
      </c>
      <c r="L85" s="131" t="n"/>
      <c r="M85" s="137" t="n"/>
      <c r="N85" s="137" t="n"/>
      <c r="O85" s="133" t="n"/>
      <c r="P85" s="131" t="n"/>
      <c r="Q85" s="138" t="n"/>
      <c r="R85" s="132" t="n"/>
    </row>
    <row r="86" ht="15" customHeight="1" s="95">
      <c r="A86" s="122" t="n"/>
      <c r="B86" s="123" t="n"/>
      <c r="C86" s="123" t="n"/>
      <c r="D86" s="122" t="n"/>
      <c r="E86" s="124" t="n"/>
      <c r="F86" s="125" t="n"/>
      <c r="G86" s="126">
        <f>IFERROR(E86*F86*12,0)</f>
        <v/>
      </c>
      <c r="H86" s="127" t="n"/>
      <c r="I86" s="127" t="n"/>
      <c r="J86" s="127" t="n"/>
      <c r="K86" s="128">
        <f>IFERROR(IF(B86="VACANT",0,(I86-TODAY())/365.25),0)</f>
        <v/>
      </c>
      <c r="L86" s="122" t="n"/>
      <c r="M86" s="129" t="n"/>
      <c r="N86" s="129" t="n"/>
      <c r="O86" s="124" t="n"/>
      <c r="P86" s="122" t="n"/>
      <c r="Q86" s="130" t="n"/>
      <c r="R86" s="123" t="n"/>
    </row>
    <row r="87" ht="15" customHeight="1" s="95">
      <c r="A87" s="131" t="n"/>
      <c r="B87" s="132" t="n"/>
      <c r="C87" s="132" t="n"/>
      <c r="D87" s="131" t="n"/>
      <c r="E87" s="133" t="n"/>
      <c r="F87" s="134" t="n"/>
      <c r="G87" s="126">
        <f>IFERROR(E87*F87*12,0)</f>
        <v/>
      </c>
      <c r="H87" s="135" t="n"/>
      <c r="I87" s="135" t="n"/>
      <c r="J87" s="135" t="n"/>
      <c r="K87" s="136">
        <f>IFERROR(IF(B87="VACANT",0,(I87-TODAY())/365.25),0)</f>
        <v/>
      </c>
      <c r="L87" s="131" t="n"/>
      <c r="M87" s="137" t="n"/>
      <c r="N87" s="137" t="n"/>
      <c r="O87" s="133" t="n"/>
      <c r="P87" s="131" t="n"/>
      <c r="Q87" s="138" t="n"/>
      <c r="R87" s="132" t="n"/>
    </row>
    <row r="88" ht="15" customHeight="1" s="95">
      <c r="A88" s="122" t="n"/>
      <c r="B88" s="123" t="n"/>
      <c r="C88" s="123" t="n"/>
      <c r="D88" s="122" t="n"/>
      <c r="E88" s="124" t="n"/>
      <c r="F88" s="125" t="n"/>
      <c r="G88" s="126">
        <f>IFERROR(E88*F88*12,0)</f>
        <v/>
      </c>
      <c r="H88" s="127" t="n"/>
      <c r="I88" s="127" t="n"/>
      <c r="J88" s="127" t="n"/>
      <c r="K88" s="128">
        <f>IFERROR(IF(B88="VACANT",0,(I88-TODAY())/365.25),0)</f>
        <v/>
      </c>
      <c r="L88" s="122" t="n"/>
      <c r="M88" s="129" t="n"/>
      <c r="N88" s="129" t="n"/>
      <c r="O88" s="124" t="n"/>
      <c r="P88" s="122" t="n"/>
      <c r="Q88" s="130" t="n"/>
      <c r="R88" s="123" t="n"/>
    </row>
    <row r="89" ht="15" customHeight="1" s="95">
      <c r="A89" s="131" t="n"/>
      <c r="B89" s="132" t="n"/>
      <c r="C89" s="132" t="n"/>
      <c r="D89" s="131" t="n"/>
      <c r="E89" s="133" t="n"/>
      <c r="F89" s="134" t="n"/>
      <c r="G89" s="126">
        <f>IFERROR(E89*F89*12,0)</f>
        <v/>
      </c>
      <c r="H89" s="135" t="n"/>
      <c r="I89" s="135" t="n"/>
      <c r="J89" s="135" t="n"/>
      <c r="K89" s="136">
        <f>IFERROR(IF(B89="VACANT",0,(I89-TODAY())/365.25),0)</f>
        <v/>
      </c>
      <c r="L89" s="131" t="n"/>
      <c r="M89" s="137" t="n"/>
      <c r="N89" s="137" t="n"/>
      <c r="O89" s="133" t="n"/>
      <c r="P89" s="131" t="n"/>
      <c r="Q89" s="138" t="n"/>
      <c r="R89" s="132" t="n"/>
    </row>
    <row r="90" ht="15" customHeight="1" s="95">
      <c r="A90" s="122" t="n"/>
      <c r="B90" s="123" t="n"/>
      <c r="C90" s="123" t="n"/>
      <c r="D90" s="122" t="n"/>
      <c r="E90" s="124" t="n"/>
      <c r="F90" s="125" t="n"/>
      <c r="G90" s="126">
        <f>IFERROR(E90*F90*12,0)</f>
        <v/>
      </c>
      <c r="H90" s="127" t="n"/>
      <c r="I90" s="127" t="n"/>
      <c r="J90" s="127" t="n"/>
      <c r="K90" s="128">
        <f>IFERROR(IF(B90="VACANT",0,(I90-TODAY())/365.25),0)</f>
        <v/>
      </c>
      <c r="L90" s="122" t="n"/>
      <c r="M90" s="129" t="n"/>
      <c r="N90" s="129" t="n"/>
      <c r="O90" s="124" t="n"/>
      <c r="P90" s="122" t="n"/>
      <c r="Q90" s="130" t="n"/>
      <c r="R90" s="123" t="n"/>
    </row>
    <row r="91" ht="15" customHeight="1" s="95">
      <c r="A91" s="131" t="n"/>
      <c r="B91" s="132" t="n"/>
      <c r="C91" s="132" t="n"/>
      <c r="D91" s="131" t="n"/>
      <c r="E91" s="133" t="n"/>
      <c r="F91" s="134" t="n"/>
      <c r="G91" s="126">
        <f>IFERROR(E91*F91*12,0)</f>
        <v/>
      </c>
      <c r="H91" s="135" t="n"/>
      <c r="I91" s="135" t="n"/>
      <c r="J91" s="135" t="n"/>
      <c r="K91" s="136">
        <f>IFERROR(IF(B91="VACANT",0,(I91-TODAY())/365.25),0)</f>
        <v/>
      </c>
      <c r="L91" s="131" t="n"/>
      <c r="M91" s="137" t="n"/>
      <c r="N91" s="137" t="n"/>
      <c r="O91" s="133" t="n"/>
      <c r="P91" s="131" t="n"/>
      <c r="Q91" s="138" t="n"/>
      <c r="R91" s="132" t="n"/>
    </row>
    <row r="92" ht="15" customHeight="1" s="95">
      <c r="A92" s="122" t="n"/>
      <c r="B92" s="123" t="n"/>
      <c r="C92" s="123" t="n"/>
      <c r="D92" s="122" t="n"/>
      <c r="E92" s="124" t="n"/>
      <c r="F92" s="125" t="n"/>
      <c r="G92" s="126">
        <f>IFERROR(E92*F92*12,0)</f>
        <v/>
      </c>
      <c r="H92" s="127" t="n"/>
      <c r="I92" s="127" t="n"/>
      <c r="J92" s="127" t="n"/>
      <c r="K92" s="128">
        <f>IFERROR(IF(B92="VACANT",0,(I92-TODAY())/365.25),0)</f>
        <v/>
      </c>
      <c r="L92" s="122" t="n"/>
      <c r="M92" s="129" t="n"/>
      <c r="N92" s="129" t="n"/>
      <c r="O92" s="124" t="n"/>
      <c r="P92" s="122" t="n"/>
      <c r="Q92" s="130" t="n"/>
      <c r="R92" s="123" t="n"/>
    </row>
    <row r="93" ht="15" customHeight="1" s="95">
      <c r="A93" s="131" t="n"/>
      <c r="B93" s="132" t="n"/>
      <c r="C93" s="132" t="n"/>
      <c r="D93" s="131" t="n"/>
      <c r="E93" s="133" t="n"/>
      <c r="F93" s="134" t="n"/>
      <c r="G93" s="126">
        <f>IFERROR(E93*F93*12,0)</f>
        <v/>
      </c>
      <c r="H93" s="135" t="n"/>
      <c r="I93" s="135" t="n"/>
      <c r="J93" s="135" t="n"/>
      <c r="K93" s="136">
        <f>IFERROR(IF(B93="VACANT",0,(I93-TODAY())/365.25),0)</f>
        <v/>
      </c>
      <c r="L93" s="131" t="n"/>
      <c r="M93" s="137" t="n"/>
      <c r="N93" s="137" t="n"/>
      <c r="O93" s="133" t="n"/>
      <c r="P93" s="131" t="n"/>
      <c r="Q93" s="138" t="n"/>
      <c r="R93" s="132" t="n"/>
    </row>
    <row r="94" ht="15" customHeight="1" s="95">
      <c r="A94" s="122" t="n"/>
      <c r="B94" s="123" t="n"/>
      <c r="C94" s="123" t="n"/>
      <c r="D94" s="122" t="n"/>
      <c r="E94" s="124" t="n"/>
      <c r="F94" s="125" t="n"/>
      <c r="G94" s="126">
        <f>IFERROR(E94*F94*12,0)</f>
        <v/>
      </c>
      <c r="H94" s="127" t="n"/>
      <c r="I94" s="127" t="n"/>
      <c r="J94" s="127" t="n"/>
      <c r="K94" s="128">
        <f>IFERROR(IF(B94="VACANT",0,(I94-TODAY())/365.25),0)</f>
        <v/>
      </c>
      <c r="L94" s="122" t="n"/>
      <c r="M94" s="129" t="n"/>
      <c r="N94" s="129" t="n"/>
      <c r="O94" s="124" t="n"/>
      <c r="P94" s="122" t="n"/>
      <c r="Q94" s="130" t="n"/>
      <c r="R94" s="123" t="n"/>
    </row>
    <row r="95" ht="15" customHeight="1" s="95">
      <c r="A95" s="131" t="n"/>
      <c r="B95" s="132" t="n"/>
      <c r="C95" s="132" t="n"/>
      <c r="D95" s="131" t="n"/>
      <c r="E95" s="133" t="n"/>
      <c r="F95" s="134" t="n"/>
      <c r="G95" s="126">
        <f>IFERROR(E95*F95*12,0)</f>
        <v/>
      </c>
      <c r="H95" s="135" t="n"/>
      <c r="I95" s="135" t="n"/>
      <c r="J95" s="135" t="n"/>
      <c r="K95" s="136">
        <f>IFERROR(IF(B95="VACANT",0,(I95-TODAY())/365.25),0)</f>
        <v/>
      </c>
      <c r="L95" s="131" t="n"/>
      <c r="M95" s="137" t="n"/>
      <c r="N95" s="137" t="n"/>
      <c r="O95" s="133" t="n"/>
      <c r="P95" s="131" t="n"/>
      <c r="Q95" s="138" t="n"/>
      <c r="R95" s="132" t="n"/>
    </row>
    <row r="96" ht="15" customHeight="1" s="95">
      <c r="A96" s="122" t="n"/>
      <c r="B96" s="123" t="n"/>
      <c r="C96" s="123" t="n"/>
      <c r="D96" s="122" t="n"/>
      <c r="E96" s="124" t="n"/>
      <c r="F96" s="125" t="n"/>
      <c r="G96" s="126">
        <f>IFERROR(E96*F96*12,0)</f>
        <v/>
      </c>
      <c r="H96" s="127" t="n"/>
      <c r="I96" s="127" t="n"/>
      <c r="J96" s="127" t="n"/>
      <c r="K96" s="128">
        <f>IFERROR(IF(B96="VACANT",0,(I96-TODAY())/365.25),0)</f>
        <v/>
      </c>
      <c r="L96" s="122" t="n"/>
      <c r="M96" s="129" t="n"/>
      <c r="N96" s="129" t="n"/>
      <c r="O96" s="124" t="n"/>
      <c r="P96" s="122" t="n"/>
      <c r="Q96" s="130" t="n"/>
      <c r="R96" s="123" t="n"/>
    </row>
    <row r="97" ht="15" customHeight="1" s="95">
      <c r="A97" s="131" t="n"/>
      <c r="B97" s="132" t="n"/>
      <c r="C97" s="132" t="n"/>
      <c r="D97" s="131" t="n"/>
      <c r="E97" s="133" t="n"/>
      <c r="F97" s="134" t="n"/>
      <c r="G97" s="126">
        <f>IFERROR(E97*F97*12,0)</f>
        <v/>
      </c>
      <c r="H97" s="135" t="n"/>
      <c r="I97" s="135" t="n"/>
      <c r="J97" s="135" t="n"/>
      <c r="K97" s="136">
        <f>IFERROR(IF(B97="VACANT",0,(I97-TODAY())/365.25),0)</f>
        <v/>
      </c>
      <c r="L97" s="131" t="n"/>
      <c r="M97" s="137" t="n"/>
      <c r="N97" s="137" t="n"/>
      <c r="O97" s="133" t="n"/>
      <c r="P97" s="131" t="n"/>
      <c r="Q97" s="138" t="n"/>
      <c r="R97" s="132" t="n"/>
    </row>
    <row r="98" ht="15" customHeight="1" s="95">
      <c r="A98" s="122" t="n"/>
      <c r="B98" s="123" t="n"/>
      <c r="C98" s="123" t="n"/>
      <c r="D98" s="122" t="n"/>
      <c r="E98" s="124" t="n"/>
      <c r="F98" s="125" t="n"/>
      <c r="G98" s="126">
        <f>IFERROR(E98*F98*12,0)</f>
        <v/>
      </c>
      <c r="H98" s="127" t="n"/>
      <c r="I98" s="127" t="n"/>
      <c r="J98" s="127" t="n"/>
      <c r="K98" s="128">
        <f>IFERROR(IF(B98="VACANT",0,(I98-TODAY())/365.25),0)</f>
        <v/>
      </c>
      <c r="L98" s="122" t="n"/>
      <c r="M98" s="129" t="n"/>
      <c r="N98" s="129" t="n"/>
      <c r="O98" s="124" t="n"/>
      <c r="P98" s="122" t="n"/>
      <c r="Q98" s="130" t="n"/>
      <c r="R98" s="123" t="n"/>
    </row>
    <row r="99" ht="15" customHeight="1" s="95">
      <c r="A99" s="131" t="n"/>
      <c r="B99" s="132" t="n"/>
      <c r="C99" s="132" t="n"/>
      <c r="D99" s="131" t="n"/>
      <c r="E99" s="133" t="n"/>
      <c r="F99" s="134" t="n"/>
      <c r="G99" s="126">
        <f>IFERROR(E99*F99*12,0)</f>
        <v/>
      </c>
      <c r="H99" s="135" t="n"/>
      <c r="I99" s="135" t="n"/>
      <c r="J99" s="135" t="n"/>
      <c r="K99" s="136">
        <f>IFERROR(IF(B99="VACANT",0,(I99-TODAY())/365.25),0)</f>
        <v/>
      </c>
      <c r="L99" s="131" t="n"/>
      <c r="M99" s="137" t="n"/>
      <c r="N99" s="137" t="n"/>
      <c r="O99" s="133" t="n"/>
      <c r="P99" s="131" t="n"/>
      <c r="Q99" s="138" t="n"/>
      <c r="R99" s="132" t="n"/>
    </row>
    <row r="100" ht="15" customHeight="1" s="95">
      <c r="A100" s="122" t="n"/>
      <c r="B100" s="123" t="n"/>
      <c r="C100" s="123" t="n"/>
      <c r="D100" s="122" t="n"/>
      <c r="E100" s="124" t="n"/>
      <c r="F100" s="125" t="n"/>
      <c r="G100" s="126">
        <f>IFERROR(E100*F100*12,0)</f>
        <v/>
      </c>
      <c r="H100" s="127" t="n"/>
      <c r="I100" s="127" t="n"/>
      <c r="J100" s="127" t="n"/>
      <c r="K100" s="128">
        <f>IFERROR(IF(B100="VACANT",0,(I100-TODAY())/365.25),0)</f>
        <v/>
      </c>
      <c r="L100" s="122" t="n"/>
      <c r="M100" s="129" t="n"/>
      <c r="N100" s="129" t="n"/>
      <c r="O100" s="124" t="n"/>
      <c r="P100" s="122" t="n"/>
      <c r="Q100" s="130" t="n"/>
      <c r="R100" s="123" t="n"/>
    </row>
    <row r="101" ht="15" customHeight="1" s="95">
      <c r="A101" s="131" t="n"/>
      <c r="B101" s="132" t="n"/>
      <c r="C101" s="132" t="n"/>
      <c r="D101" s="131" t="n"/>
      <c r="E101" s="133" t="n"/>
      <c r="F101" s="134" t="n"/>
      <c r="G101" s="126">
        <f>IFERROR(E101*F101*12,0)</f>
        <v/>
      </c>
      <c r="H101" s="135" t="n"/>
      <c r="I101" s="135" t="n"/>
      <c r="J101" s="135" t="n"/>
      <c r="K101" s="136">
        <f>IFERROR(IF(B101="VACANT",0,(I101-TODAY())/365.25),0)</f>
        <v/>
      </c>
      <c r="L101" s="131" t="n"/>
      <c r="M101" s="137" t="n"/>
      <c r="N101" s="137" t="n"/>
      <c r="O101" s="133" t="n"/>
      <c r="P101" s="131" t="n"/>
      <c r="Q101" s="138" t="n"/>
      <c r="R101" s="132" t="n"/>
    </row>
    <row r="102" ht="15" customHeight="1" s="95">
      <c r="A102" s="122" t="n"/>
      <c r="B102" s="123" t="n"/>
      <c r="C102" s="123" t="n"/>
      <c r="D102" s="122" t="n"/>
      <c r="E102" s="124" t="n"/>
      <c r="F102" s="125" t="n"/>
      <c r="G102" s="126">
        <f>IFERROR(E102*F102*12,0)</f>
        <v/>
      </c>
      <c r="H102" s="127" t="n"/>
      <c r="I102" s="127" t="n"/>
      <c r="J102" s="127" t="n"/>
      <c r="K102" s="128">
        <f>IFERROR(IF(B102="VACANT",0,(I102-TODAY())/365.25),0)</f>
        <v/>
      </c>
      <c r="L102" s="122" t="n"/>
      <c r="M102" s="129" t="n"/>
      <c r="N102" s="129" t="n"/>
      <c r="O102" s="124" t="n"/>
      <c r="P102" s="122" t="n"/>
      <c r="Q102" s="130" t="n"/>
      <c r="R102" s="123" t="n"/>
    </row>
    <row r="103" ht="15" customHeight="1" s="95">
      <c r="A103" s="131" t="n"/>
      <c r="B103" s="132" t="n"/>
      <c r="C103" s="132" t="n"/>
      <c r="D103" s="131" t="n"/>
      <c r="E103" s="133" t="n"/>
      <c r="F103" s="134" t="n"/>
      <c r="G103" s="126">
        <f>IFERROR(E103*F103*12,0)</f>
        <v/>
      </c>
      <c r="H103" s="135" t="n"/>
      <c r="I103" s="135" t="n"/>
      <c r="J103" s="135" t="n"/>
      <c r="K103" s="136">
        <f>IFERROR(IF(B103="VACANT",0,(I103-TODAY())/365.25),0)</f>
        <v/>
      </c>
      <c r="L103" s="131" t="n"/>
      <c r="M103" s="137" t="n"/>
      <c r="N103" s="137" t="n"/>
      <c r="O103" s="133" t="n"/>
      <c r="P103" s="131" t="n"/>
      <c r="Q103" s="138" t="n"/>
      <c r="R103" s="132" t="n"/>
    </row>
    <row r="105" ht="7.5" customHeight="1" s="95"/>
    <row r="106" ht="21.75" customHeight="1" s="95">
      <c r="A106" s="139" t="inlineStr">
        <is>
          <t xml:space="preserve">  SUMMARY METRICS  (referenced by Deal Overview)</t>
        </is>
      </c>
    </row>
    <row r="107" ht="15" customHeight="1" s="95">
      <c r="A107" s="140" t="inlineStr">
        <is>
          <t>Total Leased Area (m²)</t>
        </is>
      </c>
      <c r="B107" s="141">
        <f>SUMIF(B4:B103,"&lt;&gt;VACANT",E4:E103)</f>
        <v/>
      </c>
    </row>
    <row r="108" ht="15" customHeight="1" s="95">
      <c r="A108" s="140" t="inlineStr">
        <is>
          <t>Total Vacant Area (m²)</t>
        </is>
      </c>
      <c r="B108" s="141">
        <f>SUMIF(B4:B103,"VACANT",E4:E103)</f>
        <v/>
      </c>
    </row>
    <row r="109" ht="15" customHeight="1" s="95">
      <c r="A109" s="140" t="inlineStr">
        <is>
          <t>Total GLA (m²)</t>
        </is>
      </c>
      <c r="B109" s="141">
        <f>B107+B108</f>
        <v/>
      </c>
    </row>
    <row r="110" ht="15" customHeight="1" s="95">
      <c r="A110" s="140" t="inlineStr">
        <is>
          <t>Gross Passing Rent (€/yr)</t>
        </is>
      </c>
      <c r="B110" s="142">
        <f>SUMIF(B4:B103,"&lt;&gt;VACANT",G4:G103)</f>
        <v/>
      </c>
    </row>
    <row r="111" ht="23.25" customHeight="1" s="95">
      <c r="A111" s="140" t="inlineStr">
        <is>
          <t>ERV – Estimated Rental Value</t>
        </is>
      </c>
      <c r="B111" s="143" t="inlineStr">
        <is>
          <t>** Enter manually from market appraisal **</t>
        </is>
      </c>
    </row>
    <row r="112" ht="23.25" customHeight="1" s="95">
      <c r="A112" s="140" t="inlineStr">
        <is>
          <t>NOI (Passing Rent – Non-Recov.)</t>
        </is>
      </c>
      <c r="B112" s="143" t="inlineStr">
        <is>
          <t>** Link to Cost Sheet or enter manually **</t>
        </is>
      </c>
    </row>
    <row r="113" ht="15" customHeight="1" s="95">
      <c r="A113" s="140" t="inlineStr">
        <is>
          <t>Number of Active Leases</t>
        </is>
      </c>
      <c r="B113" s="141">
        <f>COUNTIF(B4:B103,"&lt;&gt;VACANT")</f>
        <v/>
      </c>
    </row>
    <row r="114" ht="15" customHeight="1" s="95">
      <c r="A114" s="140" t="inlineStr">
        <is>
          <t>Number of Vacant Units</t>
        </is>
      </c>
      <c r="B114" s="141">
        <f>COUNTIF(B4:B103,"VACANT")</f>
        <v/>
      </c>
    </row>
    <row r="115" ht="15" customHeight="1" s="95">
      <c r="A115" s="140" t="inlineStr">
        <is>
          <t>WAULT (Years)</t>
        </is>
      </c>
      <c r="B115" s="144">
        <f>IFERROR(SUMPRODUCT((B4:B103&lt;&gt;"VACANT")*G4:G103*K4:K103)/SUMIF(B4:B103,"&lt;&gt;VACANT",G4:G103),0)</f>
        <v/>
      </c>
    </row>
    <row r="116" ht="15" customHeight="1" s="95">
      <c r="A116" s="140" t="inlineStr">
        <is>
          <t>Weighted Avg Rent (€/m²/mo)</t>
        </is>
      </c>
      <c r="B116" s="142">
        <f>IFERROR(B110/(B107*12),0)</f>
        <v/>
      </c>
    </row>
    <row r="117" ht="15" customHeight="1" s="95">
      <c r="A117" s="140" t="inlineStr">
        <is>
          <t>Vacancy Rate (%)</t>
        </is>
      </c>
      <c r="B117" s="145">
        <f>IFERROR(B108/B109,0)</f>
        <v/>
      </c>
    </row>
    <row r="118" ht="15" customHeight="1" s="95">
      <c r="A118" s="140" t="inlineStr">
        <is>
          <t>CPI-Indexed Lease Share (%)</t>
        </is>
      </c>
      <c r="B118" s="145">
        <f>IFERROR(COUNTIF(L4:L103,"Y")/B113,0)</f>
        <v/>
      </c>
    </row>
    <row r="119" ht="15" customHeight="1" s="95">
      <c r="A119" s="140" t="inlineStr">
        <is>
          <t>Anchor Concentration (%)</t>
        </is>
      </c>
      <c r="B119" s="145">
        <f>IFERROR(SUMIF(D4:D103,"Y",G4:G103)/B110,0)</f>
        <v/>
      </c>
    </row>
    <row r="120" ht="15" customHeight="1" s="95">
      <c r="A120" s="140" t="inlineStr">
        <is>
          <t>Shortest Unexpired Term (Yrs)</t>
        </is>
      </c>
      <c r="B120" s="144">
        <f>IFERROR(minifs(K4:K103,B4:B103,"&lt;&gt;VACANT"),0)</f>
        <v/>
      </c>
    </row>
  </sheetData>
  <mergeCells count="3">
    <mergeCell ref="A2:R2"/>
    <mergeCell ref="A1:R1"/>
    <mergeCell ref="A106:D10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6" customWidth="1" style="94" min="2" max="2"/>
    <col width="16" customWidth="1" style="94" min="3" max="4"/>
    <col width="58" customWidth="1" style="94" min="5" max="5"/>
  </cols>
  <sheetData>
    <row r="1" ht="30" customHeight="1" s="95">
      <c r="A1" s="120" t="inlineStr">
        <is>
          <t>COST SHEET  |  Non-Recoverable Operating Costs  —  German CRE Standard</t>
        </is>
      </c>
    </row>
    <row r="2" ht="13.5" customHeight="1" s="95">
      <c r="A2" s="97" t="inlineStr">
        <is>
          <t>Blue = your inputs  |  Black = auto-calculated  |  Yellow = priority inputs  |  All figures annual (€/yr) unless noted</t>
        </is>
      </c>
    </row>
    <row r="4" ht="19.5" customHeight="1" s="95">
      <c r="A4" s="98" t="inlineStr">
        <is>
          <t xml:space="preserve">  A  |  INCOME REFERENCE  (linked from Rent Roll — do not edit)</t>
        </is>
      </c>
    </row>
    <row r="5" ht="18" customHeight="1" s="95">
      <c r="A5" s="146" t="inlineStr">
        <is>
          <t>Gross Passing Rent (€/yr)</t>
        </is>
      </c>
      <c r="B5" s="147">
        <f>'Rent Roll'!B110</f>
        <v/>
      </c>
    </row>
    <row r="6" ht="18" customHeight="1" s="95">
      <c r="A6" s="148" t="inlineStr">
        <is>
          <t>Total GLA (m²)</t>
        </is>
      </c>
      <c r="B6" s="147">
        <f>'Rent Roll'!B109</f>
        <v/>
      </c>
    </row>
    <row r="7" ht="18" customHeight="1" s="95">
      <c r="A7" s="146" t="inlineStr">
        <is>
          <t>Leased Area (m²)</t>
        </is>
      </c>
      <c r="B7" s="147">
        <f>'Rent Roll'!B107</f>
        <v/>
      </c>
    </row>
    <row r="8" ht="18" customHeight="1" s="95">
      <c r="A8" s="148" t="inlineStr">
        <is>
          <t>Vacant Area (m²)</t>
        </is>
      </c>
      <c r="B8" s="147">
        <f>'Rent Roll'!B108</f>
        <v/>
      </c>
    </row>
    <row r="9" ht="18" customHeight="1" s="95">
      <c r="A9" s="146" t="inlineStr">
        <is>
          <t>Vacancy Rate (%)</t>
        </is>
      </c>
      <c r="B9" s="149">
        <f>'Rent Roll'!B117</f>
        <v/>
      </c>
    </row>
    <row r="10" ht="18" customHeight="1" s="95">
      <c r="A10" s="148" t="inlineStr">
        <is>
          <t>Number of Vacant Units</t>
        </is>
      </c>
      <c r="B10" s="147">
        <f>'Rent Roll'!B114</f>
        <v/>
      </c>
    </row>
    <row r="12" ht="19.5" customHeight="1" s="95">
      <c r="A12" s="98" t="inlineStr">
        <is>
          <t xml:space="preserve">  B  |  NON-RECOVERABLE OPERATING COSTS  (Nicht-umlagefähige Kosten)</t>
        </is>
      </c>
    </row>
    <row r="13" ht="19.5" customHeight="1" s="95">
      <c r="A13" s="150" t="inlineStr">
        <is>
          <t>Cost Item</t>
        </is>
      </c>
      <c r="B13" s="150" t="inlineStr">
        <is>
          <t>Basis</t>
        </is>
      </c>
      <c r="C13" s="150" t="inlineStr">
        <is>
          <t>Rate / Amount</t>
        </is>
      </c>
      <c r="D13" s="150" t="inlineStr">
        <is>
          <t>Annual Cost (€)</t>
        </is>
      </c>
      <c r="E13" s="150" t="inlineStr">
        <is>
          <t>Notes</t>
        </is>
      </c>
    </row>
    <row r="14" ht="27.75" customHeight="1" s="95">
      <c r="A14" s="151" t="inlineStr">
        <is>
          <t>Property Management Fee</t>
        </is>
      </c>
      <c r="B14" s="152" t="inlineStr">
        <is>
          <t>% of Gross Rent</t>
        </is>
      </c>
      <c r="C14" s="153" t="n">
        <v>0.012</v>
      </c>
      <c r="D14" s="154">
        <f>C14*B5</f>
        <v/>
      </c>
      <c r="E14" s="155" t="inlineStr">
        <is>
          <t>Typical German: 1.0–2.0% of gross rent. Negotiate at acquisition.</t>
        </is>
      </c>
    </row>
    <row r="15" ht="27.75" customHeight="1" s="95">
      <c r="A15" s="156" t="inlineStr">
        <is>
          <t>Asset Management Fee</t>
        </is>
      </c>
      <c r="B15" s="157" t="inlineStr">
        <is>
          <t>% of Gross Rent</t>
        </is>
      </c>
      <c r="C15" s="158" t="n">
        <v>0.004</v>
      </c>
      <c r="D15" s="154">
        <f>C15*B5</f>
        <v/>
      </c>
      <c r="E15" s="159" t="inlineStr">
        <is>
          <t>Institutional owners charge 0.3–0.75% internally. External: 0.5–1.0%.</t>
        </is>
      </c>
    </row>
    <row r="16" ht="27.75" customHeight="1" s="95">
      <c r="A16" s="151" t="inlineStr">
        <is>
          <t>Building Insurance (Gebäudeversicherung)</t>
        </is>
      </c>
      <c r="B16" s="152" t="inlineStr">
        <is>
          <t>€ per m² GLA / yr</t>
        </is>
      </c>
      <c r="C16" s="160" t="n">
        <v>1.8</v>
      </c>
      <c r="D16" s="154">
        <f>C16*B6</f>
        <v/>
      </c>
      <c r="E16" s="155" t="inlineStr">
        <is>
          <t>Range: €1.50–€4.00/m²/yr depending on age, construction, and risk.</t>
        </is>
      </c>
    </row>
    <row r="17" ht="27.75" customHeight="1" s="95">
      <c r="A17" s="156" t="inlineStr">
        <is>
          <t>Structural / Capex Reserve</t>
        </is>
      </c>
      <c r="B17" s="157" t="inlineStr">
        <is>
          <t>€ per m² GLA / yr</t>
        </is>
      </c>
      <c r="C17" s="160" t="n">
        <v>4</v>
      </c>
      <c r="D17" s="154">
        <f>C17*B6</f>
        <v/>
      </c>
      <c r="E17" s="159" t="inlineStr">
        <is>
          <t>IREBS benchmark: €4–€8/m²/yr for retail. Higher for older assets.</t>
        </is>
      </c>
    </row>
    <row r="18" ht="27.75" customHeight="1" s="95">
      <c r="A18" s="151" t="inlineStr">
        <is>
          <t>Ground Rent — Erbpachtzins</t>
        </is>
      </c>
      <c r="B18" s="152" t="inlineStr">
        <is>
          <t>€ per year (if applicable)</t>
        </is>
      </c>
      <c r="C18" s="161" t="n">
        <v>0</v>
      </c>
      <c r="D18" s="154">
        <f>C18</f>
        <v/>
      </c>
      <c r="E18" s="155" t="inlineStr">
        <is>
          <t>Enter 0 if freehold (Volleigentum). Fixed annual charge if leasehold.</t>
        </is>
      </c>
    </row>
    <row r="19" ht="27.75" customHeight="1" s="95">
      <c r="A19" s="156" t="inlineStr">
        <is>
          <t>Grundsteuer — Property Tax</t>
        </is>
      </c>
      <c r="B19" s="157" t="inlineStr">
        <is>
          <t>€ per year</t>
        </is>
      </c>
      <c r="C19" s="162" t="n">
        <v>0</v>
      </c>
      <c r="D19" s="154">
        <f>C19</f>
        <v/>
      </c>
      <c r="E19" s="159" t="inlineStr">
        <is>
          <t>Varies by municipality (Hebesatz). Typically passed to tenants but landlord bears cost on VACANT units — enter only the non-recoverable portion.</t>
        </is>
      </c>
    </row>
    <row r="20" ht="27.75" customHeight="1" s="95">
      <c r="A20" s="151" t="inlineStr">
        <is>
          <t>Void Service Charge (on vacant units)</t>
        </is>
      </c>
      <c r="B20" s="152" t="inlineStr">
        <is>
          <t>€ per m² vacant / yr</t>
        </is>
      </c>
      <c r="C20" s="160" t="n">
        <v>0</v>
      </c>
      <c r="D20" s="154">
        <f>C20*B8</f>
        <v/>
      </c>
      <c r="E20" s="155" t="inlineStr">
        <is>
          <t>Landlord bears service charge on empty units. Typical: €15–€25/m²/yr. CRITICAL — often omitted in amateur models.</t>
        </is>
      </c>
    </row>
    <row r="21" ht="27.75" customHeight="1" s="95">
      <c r="A21" s="156" t="inlineStr">
        <is>
          <t>Void Insurance (on vacant units)</t>
        </is>
      </c>
      <c r="B21" s="157" t="inlineStr">
        <is>
          <t>€ per m² vacant / yr</t>
        </is>
      </c>
      <c r="C21" s="163" t="n">
        <v>0</v>
      </c>
      <c r="D21" s="154">
        <f>C21*B8</f>
        <v/>
      </c>
      <c r="E21" s="159" t="inlineStr">
        <is>
          <t>Additional insurance premium on unoccupied space. Typically €1–€2/m²/yr.</t>
        </is>
      </c>
    </row>
    <row r="22" ht="27.75" customHeight="1" s="95">
      <c r="A22" s="151" t="inlineStr">
        <is>
          <t>Letting / Re-Leasing Costs</t>
        </is>
      </c>
      <c r="B22" s="152" t="inlineStr">
        <is>
          <t>% of Annual Rent (amortised)</t>
        </is>
      </c>
      <c r="C22" s="153" t="n">
        <v>0.025</v>
      </c>
      <c r="D22" s="154">
        <f>C22*B5</f>
        <v/>
      </c>
      <c r="E22" s="155" t="inlineStr">
        <is>
          <t>Mieterausbaukostenzuschuss + agent fee amortised over avg lease term. Retail fit-out contributions: €50–€150/m².</t>
        </is>
      </c>
    </row>
    <row r="23" ht="27.75" customHeight="1" s="95">
      <c r="A23" s="156" t="inlineStr">
        <is>
          <t>Other Non-Recoverable Costs</t>
        </is>
      </c>
      <c r="B23" s="157" t="inlineStr">
        <is>
          <t>€ per year</t>
        </is>
      </c>
      <c r="C23" s="164" t="n">
        <v>2000</v>
      </c>
      <c r="D23" s="154">
        <f>C23</f>
        <v/>
      </c>
      <c r="E23" s="159" t="inlineStr">
        <is>
          <t>Legal, accounting, other non-recoverable items.</t>
        </is>
      </c>
    </row>
    <row r="25" ht="19.5" customHeight="1" s="95">
      <c r="A25" s="98" t="inlineStr">
        <is>
          <t xml:space="preserve">  C  |  NOI CALCULATION BRIDGE  (referenced by Deal Overview and Python engine)</t>
        </is>
      </c>
    </row>
    <row r="26" ht="18" customHeight="1" s="95">
      <c r="A26" s="165" t="inlineStr">
        <is>
          <t>Gross Passing Rent (€/yr)</t>
        </is>
      </c>
      <c r="B26" s="166">
        <f>B5</f>
        <v/>
      </c>
    </row>
    <row r="27" ht="18" customHeight="1" s="95">
      <c r="A27" s="167" t="inlineStr">
        <is>
          <t>Less: Total Non-Recoverable Costs</t>
        </is>
      </c>
      <c r="B27" s="168">
        <f>SUM(D14:D23)*-1</f>
        <v/>
      </c>
    </row>
    <row r="28" ht="21.75" customHeight="1" s="95">
      <c r="A28" s="169" t="inlineStr">
        <is>
          <t>NET OPERATING INCOME  (€/yr)</t>
        </is>
      </c>
      <c r="B28" s="170">
        <f>B26+B27</f>
        <v/>
      </c>
    </row>
    <row r="29" ht="18" customHeight="1" s="95">
      <c r="A29" s="167" t="inlineStr">
        <is>
          <t>Implied NOI Margin (%)</t>
        </is>
      </c>
      <c r="B29" s="171">
        <f>IFERROR(B28/B5,0)</f>
        <v/>
      </c>
    </row>
    <row r="30" ht="18" customHeight="1" s="95">
      <c r="A30" s="165" t="inlineStr">
        <is>
          <t>NOI per m² GLA (€/yr)</t>
        </is>
      </c>
      <c r="B30" s="172">
        <f>IFERROR(B28/B6,0)</f>
        <v/>
      </c>
    </row>
    <row r="31" ht="18" customHeight="1" s="95">
      <c r="A31" s="167" t="inlineStr">
        <is>
          <t>NOI per m² Leased (€/yr)</t>
        </is>
      </c>
      <c r="B31" s="172">
        <f>IFERROR(B28/B7,0)</f>
        <v/>
      </c>
    </row>
  </sheetData>
  <mergeCells count="5">
    <mergeCell ref="A12:H12"/>
    <mergeCell ref="A4:H4"/>
    <mergeCell ref="A25:H2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94" min="1" max="1"/>
    <col width="14" customWidth="1" style="94" min="2" max="12"/>
  </cols>
  <sheetData>
    <row r="1" ht="27.75" customHeight="1" s="95">
      <c r="A1" s="120" t="inlineStr">
        <is>
          <t>10-YEAR CPI RENT PROJECTION  |  German Indexation Model</t>
        </is>
      </c>
    </row>
    <row r="3" ht="15" customHeight="1" s="95">
      <c r="A3" s="173" t="inlineStr">
        <is>
          <t xml:space="preserve">  ASSUMPTIONS</t>
        </is>
      </c>
    </row>
    <row r="4" ht="15" customHeight="1" s="95">
      <c r="A4" s="174" t="inlineStr">
        <is>
          <t>Base Year Gross Passing Rent (€)</t>
        </is>
      </c>
      <c r="B4" s="175">
        <f>'Rent Roll'!B110</f>
        <v/>
      </c>
    </row>
    <row r="5" ht="15" customHeight="1" s="95">
      <c r="A5" s="174" t="inlineStr">
        <is>
          <t>CPI Assumption – Base Case (%)</t>
        </is>
      </c>
      <c r="B5" s="176" t="n">
        <v>0.025</v>
      </c>
    </row>
    <row r="6" ht="15" customHeight="1" s="95">
      <c r="A6" s="174" t="inlineStr">
        <is>
          <t>CPI Assumption – Bear Case (%)</t>
        </is>
      </c>
      <c r="B6" s="176" t="n">
        <v>0.01</v>
      </c>
    </row>
    <row r="7" ht="15" customHeight="1" s="95">
      <c r="A7" s="174" t="inlineStr">
        <is>
          <t>CPI Assumption – Bull Case (%)</t>
        </is>
      </c>
      <c r="B7" s="176" t="n">
        <v>0.035</v>
      </c>
    </row>
    <row r="8" ht="15" customHeight="1" s="95">
      <c r="A8" s="174" t="inlineStr">
        <is>
          <t>Average CPI Pass-Through (%)</t>
        </is>
      </c>
      <c r="B8" s="177">
        <f>'Rent Roll'!B118</f>
        <v/>
      </c>
    </row>
    <row r="9" ht="15" customHeight="1" s="95">
      <c r="A9" s="174" t="inlineStr">
        <is>
          <t>CPI Trigger Threshold (%)</t>
        </is>
      </c>
      <c r="B9" s="176" t="n">
        <v>0.1</v>
      </c>
    </row>
    <row r="10" ht="15" customHeight="1" s="95">
      <c r="A10" s="174" t="inlineStr">
        <is>
          <t>Vacancy Growth Rate / yr (%)</t>
        </is>
      </c>
      <c r="B10" s="176" t="n">
        <v>0.005</v>
      </c>
    </row>
    <row r="11" ht="15" customHeight="1" s="95">
      <c r="A11" s="174" t="inlineStr">
        <is>
          <t>Exit Cap Rate – Base (%)</t>
        </is>
      </c>
      <c r="B11" s="176" t="n">
        <v>0.065</v>
      </c>
    </row>
    <row r="12" ht="15" customHeight="1" s="95">
      <c r="A12" s="174" t="inlineStr">
        <is>
          <t>Exit Cap Rate – Bear (%)</t>
        </is>
      </c>
      <c r="B12" s="176" t="n">
        <v>0.08</v>
      </c>
    </row>
    <row r="13" ht="15" customHeight="1" s="95">
      <c r="A13" s="174" t="inlineStr">
        <is>
          <t>Exit Cap Rate – Bull (%)</t>
        </is>
      </c>
      <c r="B13" s="176" t="n">
        <v>0.055</v>
      </c>
    </row>
    <row r="15" ht="7.5" customHeight="1" s="95"/>
    <row r="16" ht="19.5" customHeight="1" s="95">
      <c r="A16" s="173" t="inlineStr">
        <is>
          <t>Metric</t>
        </is>
      </c>
      <c r="B16" s="104" t="inlineStr">
        <is>
          <t>Year 1</t>
        </is>
      </c>
      <c r="C16" s="104" t="inlineStr">
        <is>
          <t>Year 2</t>
        </is>
      </c>
      <c r="D16" s="104" t="inlineStr">
        <is>
          <t>Year 3</t>
        </is>
      </c>
      <c r="E16" s="104" t="inlineStr">
        <is>
          <t>Year 4</t>
        </is>
      </c>
      <c r="F16" s="104" t="inlineStr">
        <is>
          <t>Year 5</t>
        </is>
      </c>
      <c r="G16" s="104" t="inlineStr">
        <is>
          <t>Year 6</t>
        </is>
      </c>
      <c r="H16" s="104" t="inlineStr">
        <is>
          <t>Year 7</t>
        </is>
      </c>
      <c r="I16" s="104" t="inlineStr">
        <is>
          <t>Year 8</t>
        </is>
      </c>
      <c r="J16" s="104" t="inlineStr">
        <is>
          <t>Year 9</t>
        </is>
      </c>
      <c r="K16" s="104" t="inlineStr">
        <is>
          <t>Year 10</t>
        </is>
      </c>
    </row>
    <row r="17" ht="15" customHeight="1" s="95">
      <c r="A17" s="178" t="inlineStr">
        <is>
          <t>CPI Index (Base=1.0)</t>
        </is>
      </c>
      <c r="B17" s="179">
        <f>(1+$B$5)^1</f>
        <v/>
      </c>
      <c r="C17" s="179">
        <f>(1+$B$5)^2</f>
        <v/>
      </c>
      <c r="D17" s="179">
        <f>(1+$B$5)^3</f>
        <v/>
      </c>
      <c r="E17" s="179">
        <f>(1+$B$5)^4</f>
        <v/>
      </c>
      <c r="F17" s="179">
        <f>(1+$B$5)^5</f>
        <v/>
      </c>
      <c r="G17" s="179">
        <f>(1+$B$5)^6</f>
        <v/>
      </c>
      <c r="H17" s="179">
        <f>(1+$B$5)^7</f>
        <v/>
      </c>
      <c r="I17" s="179">
        <f>(1+$B$5)^8</f>
        <v/>
      </c>
      <c r="J17" s="179">
        <f>(1+$B$5)^9</f>
        <v/>
      </c>
      <c r="K17" s="179">
        <f>(1+$B$5)^10</f>
        <v/>
      </c>
      <c r="L17" s="179">
        <f>(1+$B$5)^11</f>
        <v/>
      </c>
    </row>
    <row r="18" ht="15" customHeight="1" s="95">
      <c r="A18" s="180" t="inlineStr">
        <is>
          <t>Rent – Base Case (€)</t>
        </is>
      </c>
      <c r="B18" s="181">
        <f>$B$4*(1+$B$5*$B$8)^1</f>
        <v/>
      </c>
      <c r="C18" s="181">
        <f>$B$4*(1+$B$5*$B$8)^2</f>
        <v/>
      </c>
      <c r="D18" s="181">
        <f>$B$4*(1+$B$5*$B$8)^3</f>
        <v/>
      </c>
      <c r="E18" s="181">
        <f>$B$4*(1+$B$5*$B$8)^4</f>
        <v/>
      </c>
      <c r="F18" s="181">
        <f>$B$4*(1+$B$5*$B$8)^5</f>
        <v/>
      </c>
      <c r="G18" s="181">
        <f>$B$4*(1+$B$5*$B$8)^6</f>
        <v/>
      </c>
      <c r="H18" s="181">
        <f>$B$4*(1+$B$5*$B$8)^7</f>
        <v/>
      </c>
      <c r="I18" s="181">
        <f>$B$4*(1+$B$5*$B$8)^8</f>
        <v/>
      </c>
      <c r="J18" s="181">
        <f>$B$4*(1+$B$5*$B$8)^9</f>
        <v/>
      </c>
      <c r="K18" s="181">
        <f>$B$4*(1+$B$5*$B$8)^10</f>
        <v/>
      </c>
      <c r="L18" s="181">
        <f>$B$4*(1+$B$5*$B$8)^11</f>
        <v/>
      </c>
    </row>
    <row r="19" ht="15" customHeight="1" s="95">
      <c r="A19" s="178" t="inlineStr">
        <is>
          <t>Rent – Bear Case (€)</t>
        </is>
      </c>
      <c r="B19" s="182">
        <f>$B$4*(1+$B$6*$B$8)^1</f>
        <v/>
      </c>
      <c r="C19" s="182">
        <f>$B$4*(1+$B$6*$B$8)^2</f>
        <v/>
      </c>
      <c r="D19" s="182">
        <f>$B$4*(1+$B$6*$B$8)^3</f>
        <v/>
      </c>
      <c r="E19" s="182">
        <f>$B$4*(1+$B$6*$B$8)^4</f>
        <v/>
      </c>
      <c r="F19" s="182">
        <f>$B$4*(1+$B$6*$B$8)^5</f>
        <v/>
      </c>
      <c r="G19" s="182">
        <f>$B$4*(1+$B$6*$B$8)^6</f>
        <v/>
      </c>
      <c r="H19" s="182">
        <f>$B$4*(1+$B$6*$B$8)^7</f>
        <v/>
      </c>
      <c r="I19" s="182">
        <f>$B$4*(1+$B$6*$B$8)^8</f>
        <v/>
      </c>
      <c r="J19" s="182">
        <f>$B$4*(1+$B$6*$B$8)^9</f>
        <v/>
      </c>
      <c r="K19" s="182">
        <f>$B$4*(1+$B$6*$B$8)^10</f>
        <v/>
      </c>
      <c r="L19" s="182">
        <f>$B$4*(1+$B$6*$B$8)^11</f>
        <v/>
      </c>
    </row>
    <row r="20" ht="15" customHeight="1" s="95">
      <c r="A20" s="180" t="inlineStr">
        <is>
          <t>Rent – Bull Case (€)</t>
        </is>
      </c>
      <c r="B20" s="181">
        <f>$B$4*(1+$B$7*$B$8)^1</f>
        <v/>
      </c>
      <c r="C20" s="181">
        <f>$B$4*(1+$B$7*$B$8)^2</f>
        <v/>
      </c>
      <c r="D20" s="181">
        <f>$B$4*(1+$B$7*$B$8)^3</f>
        <v/>
      </c>
      <c r="E20" s="181">
        <f>$B$4*(1+$B$7*$B$8)^4</f>
        <v/>
      </c>
      <c r="F20" s="181">
        <f>$B$4*(1+$B$7*$B$8)^5</f>
        <v/>
      </c>
      <c r="G20" s="181">
        <f>$B$4*(1+$B$7*$B$8)^6</f>
        <v/>
      </c>
      <c r="H20" s="181">
        <f>$B$4*(1+$B$7*$B$8)^7</f>
        <v/>
      </c>
      <c r="I20" s="181">
        <f>$B$4*(1+$B$7*$B$8)^8</f>
        <v/>
      </c>
      <c r="J20" s="181">
        <f>$B$4*(1+$B$7*$B$8)^9</f>
        <v/>
      </c>
      <c r="K20" s="181">
        <f>$B$4*(1+$B$7*$B$8)^10</f>
        <v/>
      </c>
      <c r="L20" s="181">
        <f>$B$4*(1+$B$7*$B$8)^11</f>
        <v/>
      </c>
    </row>
    <row r="21" ht="15" customHeight="1" s="95">
      <c r="A21" s="178" t="inlineStr">
        <is>
          <t>Cumulative Rent Growth – Base (%)</t>
        </is>
      </c>
      <c r="B21" s="183">
        <f>($B$4*(1+$B$5*$B$8)^1-$B$4)/$B$4</f>
        <v/>
      </c>
      <c r="C21" s="183">
        <f>($B$4*(1+$B$5*$B$8)^2-$B$4)/$B$4</f>
        <v/>
      </c>
      <c r="D21" s="183">
        <f>($B$4*(1+$B$5*$B$8)^3-$B$4)/$B$4</f>
        <v/>
      </c>
      <c r="E21" s="183">
        <f>($B$4*(1+$B$5*$B$8)^4-$B$4)/$B$4</f>
        <v/>
      </c>
      <c r="F21" s="183">
        <f>($B$4*(1+$B$5*$B$8)^5-$B$4)/$B$4</f>
        <v/>
      </c>
      <c r="G21" s="183">
        <f>($B$4*(1+$B$5*$B$8)^6-$B$4)/$B$4</f>
        <v/>
      </c>
      <c r="H21" s="183">
        <f>($B$4*(1+$B$5*$B$8)^7-$B$4)/$B$4</f>
        <v/>
      </c>
      <c r="I21" s="183">
        <f>($B$4*(1+$B$5*$B$8)^8-$B$4)/$B$4</f>
        <v/>
      </c>
      <c r="J21" s="183">
        <f>($B$4*(1+$B$5*$B$8)^9-$B$4)/$B$4</f>
        <v/>
      </c>
      <c r="K21" s="183">
        <f>($B$4*(1+$B$5*$B$8)^10-$B$4)/$B$4</f>
        <v/>
      </c>
      <c r="L21" s="183">
        <f>($B$4*(1+$B$5*$B$8)^11-$B$4)/$B$4</f>
        <v/>
      </c>
    </row>
    <row r="22" ht="15" customHeight="1" s="95">
      <c r="A22" s="180" t="inlineStr">
        <is>
          <t>Implied Exit Value – Base (€)</t>
        </is>
      </c>
      <c r="B22" s="181">
        <f>IFERROR($B$4*(1+$B$5*$B$8)^1/$B$10,0)</f>
        <v/>
      </c>
      <c r="C22" s="181">
        <f>IFERROR($B$4*(1+$B$5*$B$8)^2/$B$10,0)</f>
        <v/>
      </c>
      <c r="D22" s="181">
        <f>IFERROR($B$4*(1+$B$5*$B$8)^3/$B$10,0)</f>
        <v/>
      </c>
      <c r="E22" s="181">
        <f>IFERROR($B$4*(1+$B$5*$B$8)^4/$B$10,0)</f>
        <v/>
      </c>
      <c r="F22" s="181">
        <f>IFERROR($B$4*(1+$B$5*$B$8)^5/$B$10,0)</f>
        <v/>
      </c>
      <c r="G22" s="181">
        <f>IFERROR($B$4*(1+$B$5*$B$8)^6/$B$10,0)</f>
        <v/>
      </c>
      <c r="H22" s="181">
        <f>IFERROR($B$4*(1+$B$5*$B$8)^7/$B$10,0)</f>
        <v/>
      </c>
      <c r="I22" s="181">
        <f>IFERROR($B$4*(1+$B$5*$B$8)^8/$B$10,0)</f>
        <v/>
      </c>
      <c r="J22" s="181">
        <f>IFERROR($B$4*(1+$B$5*$B$8)^9/$B$10,0)</f>
        <v/>
      </c>
      <c r="K22" s="181">
        <f>IFERROR($B$4*(1+$B$5*$B$8)^10/$B$10,0)</f>
        <v/>
      </c>
      <c r="L22" s="181">
        <f>IFERROR($B$4*(1+$B$5*$B$8)^11/$B$10,0)</f>
        <v/>
      </c>
    </row>
    <row r="23" ht="15" customHeight="1" s="95">
      <c r="A23" s="178" t="inlineStr">
        <is>
          <t>Implied Exit Value – Bear (€)</t>
        </is>
      </c>
      <c r="B23" s="182">
        <f>IFERROR($B$4*(1+$B$6*$B$8)^1/$B$11,0)</f>
        <v/>
      </c>
      <c r="C23" s="182">
        <f>IFERROR($B$4*(1+$B$6*$B$8)^2/$B$11,0)</f>
        <v/>
      </c>
      <c r="D23" s="182">
        <f>IFERROR($B$4*(1+$B$6*$B$8)^3/$B$11,0)</f>
        <v/>
      </c>
      <c r="E23" s="182">
        <f>IFERROR($B$4*(1+$B$6*$B$8)^4/$B$11,0)</f>
        <v/>
      </c>
      <c r="F23" s="182">
        <f>IFERROR($B$4*(1+$B$6*$B$8)^5/$B$11,0)</f>
        <v/>
      </c>
      <c r="G23" s="182">
        <f>IFERROR($B$4*(1+$B$6*$B$8)^6/$B$11,0)</f>
        <v/>
      </c>
      <c r="H23" s="182">
        <f>IFERROR($B$4*(1+$B$6*$B$8)^7/$B$11,0)</f>
        <v/>
      </c>
      <c r="I23" s="182">
        <f>IFERROR($B$4*(1+$B$6*$B$8)^8/$B$11,0)</f>
        <v/>
      </c>
      <c r="J23" s="182">
        <f>IFERROR($B$4*(1+$B$6*$B$8)^9/$B$11,0)</f>
        <v/>
      </c>
      <c r="K23" s="182">
        <f>IFERROR($B$4*(1+$B$6*$B$8)^10/$B$11,0)</f>
        <v/>
      </c>
      <c r="L23" s="182">
        <f>IFERROR($B$4*(1+$B$6*$B$8)^11/$B$11,0)</f>
        <v/>
      </c>
    </row>
    <row r="24" ht="15" customHeight="1" s="95">
      <c r="A24" s="180" t="inlineStr">
        <is>
          <t>Implied Exit Value – Bull (€)</t>
        </is>
      </c>
      <c r="B24" s="181">
        <f>IFERROR($B$4*(1+$B$7*$B$8)^1/$B$12,0)</f>
        <v/>
      </c>
      <c r="C24" s="181">
        <f>IFERROR($B$4*(1+$B$7*$B$8)^2/$B$12,0)</f>
        <v/>
      </c>
      <c r="D24" s="181">
        <f>IFERROR($B$4*(1+$B$7*$B$8)^3/$B$12,0)</f>
        <v/>
      </c>
      <c r="E24" s="181">
        <f>IFERROR($B$4*(1+$B$7*$B$8)^4/$B$12,0)</f>
        <v/>
      </c>
      <c r="F24" s="181">
        <f>IFERROR($B$4*(1+$B$7*$B$8)^5/$B$12,0)</f>
        <v/>
      </c>
      <c r="G24" s="181">
        <f>IFERROR($B$4*(1+$B$7*$B$8)^6/$B$12,0)</f>
        <v/>
      </c>
      <c r="H24" s="181">
        <f>IFERROR($B$4*(1+$B$7*$B$8)^7/$B$12,0)</f>
        <v/>
      </c>
      <c r="I24" s="181">
        <f>IFERROR($B$4*(1+$B$7*$B$8)^8/$B$12,0)</f>
        <v/>
      </c>
      <c r="J24" s="181">
        <f>IFERROR($B$4*(1+$B$7*$B$8)^9/$B$12,0)</f>
        <v/>
      </c>
      <c r="K24" s="181">
        <f>IFERROR($B$4*(1+$B$7*$B$8)^10/$B$12,0)</f>
        <v/>
      </c>
      <c r="L24" s="181">
        <f>IFERROR($B$4*(1+$B$7*$B$8)^11/$B$12,0)</f>
        <v/>
      </c>
    </row>
  </sheetData>
  <mergeCells count="2">
    <mergeCell ref="A3:D3"/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94" min="1" max="1"/>
    <col width="70" customWidth="1" style="94" min="2" max="2"/>
  </cols>
  <sheetData>
    <row r="1" ht="27.75" customHeight="1" s="95">
      <c r="A1" s="120" t="inlineStr">
        <is>
          <t>USER GUIDE  |  Institutional Retail Underwriter v1.0</t>
        </is>
      </c>
    </row>
    <row r="3" ht="19.5" customHeight="1" s="95">
      <c r="A3" s="173" t="inlineStr">
        <is>
          <t xml:space="preserve">  COLOUR CODE</t>
        </is>
      </c>
    </row>
    <row r="4" ht="15.75" customHeight="1" s="95">
      <c r="A4" s="184" t="inlineStr">
        <is>
          <t>Blue text</t>
        </is>
      </c>
      <c r="B4" s="185" t="inlineStr">
        <is>
          <t>Hardcoded INPUT – enter your deal data here</t>
        </is>
      </c>
    </row>
    <row r="5" ht="15.75" customHeight="1" s="95">
      <c r="A5" s="186" t="inlineStr">
        <is>
          <t>Black text</t>
        </is>
      </c>
      <c r="B5" s="187" t="inlineStr">
        <is>
          <t>Formula – calculated automatically, do not overwrite</t>
        </is>
      </c>
    </row>
    <row r="6" ht="15.75" customHeight="1" s="95">
      <c r="A6" s="184" t="inlineStr">
        <is>
          <t>Yellow background</t>
        </is>
      </c>
      <c r="B6" s="185" t="inlineStr">
        <is>
          <t>Priority input – must not be left blank</t>
        </is>
      </c>
    </row>
    <row r="7" ht="15.75" customHeight="1" s="95">
      <c r="A7" s="186" t="inlineStr">
        <is>
          <t>Light blue background</t>
        </is>
      </c>
      <c r="B7" s="187" t="inlineStr">
        <is>
          <t>Auto-calculated summary field</t>
        </is>
      </c>
    </row>
    <row r="8" ht="7.5" customHeight="1" s="95"/>
    <row r="9" ht="19.5" customHeight="1" s="95">
      <c r="A9" s="173" t="inlineStr">
        <is>
          <t xml:space="preserve">  WORKFLOW</t>
        </is>
      </c>
    </row>
    <row r="10" ht="15.75" customHeight="1" s="95">
      <c r="A10" s="184" t="inlineStr">
        <is>
          <t>Step 1</t>
        </is>
      </c>
      <c r="B10" s="185" t="inlineStr">
        <is>
          <t>Fill in 'Deal Overview' tab: Property Identity, Transaction, and Financing sections</t>
        </is>
      </c>
    </row>
    <row r="11" ht="15.75" customHeight="1" s="95">
      <c r="A11" s="186" t="inlineStr">
        <is>
          <t>Step 2</t>
        </is>
      </c>
      <c r="B11" s="187" t="inlineStr">
        <is>
          <t>Fill in 'Rent Roll' tab: one row per lease unit. Use 'VACANT' as Tenant Name for empty units</t>
        </is>
      </c>
    </row>
    <row r="12" ht="15.75" customHeight="1" s="95">
      <c r="A12" s="184" t="inlineStr">
        <is>
          <t>Step 3</t>
        </is>
      </c>
      <c r="B12" s="185" t="inlineStr">
        <is>
          <t>Check 'Deal Overview' KPI dashboard – metrics auto-populate from Rent Roll</t>
        </is>
      </c>
    </row>
    <row r="13" ht="15.75" customHeight="1" s="95">
      <c r="A13" s="186" t="inlineStr">
        <is>
          <t>Step 4</t>
        </is>
      </c>
      <c r="B13" s="187" t="inlineStr">
        <is>
          <t>Review 'CPI Projections' – adjust CPI and Exit Cap Rate assumptions in blue cells</t>
        </is>
      </c>
    </row>
    <row r="14" ht="15.75" customHeight="1" s="95">
      <c r="A14" s="184" t="inlineStr">
        <is>
          <t>Step 5</t>
        </is>
      </c>
      <c r="B14" s="185" t="inlineStr">
        <is>
          <t>Upload file into the Python underwriter engine for QA audit and full IC memo</t>
        </is>
      </c>
    </row>
    <row r="15" ht="7.5" customHeight="1" s="95"/>
    <row r="16" ht="19.5" customHeight="1" s="95">
      <c r="A16" s="173" t="inlineStr">
        <is>
          <t xml:space="preserve">  KEY METRICS EXPLAINED</t>
        </is>
      </c>
    </row>
    <row r="17" ht="15.75" customHeight="1" s="95">
      <c r="A17" s="186" t="inlineStr">
        <is>
          <t>DSCR</t>
        </is>
      </c>
      <c r="B17" s="187" t="inlineStr">
        <is>
          <t>Debt Service Coverage Ratio – NOI divided by annual debt service. Bank minimum: 1.30x</t>
        </is>
      </c>
    </row>
    <row r="18" ht="15.75" customHeight="1" s="95">
      <c r="A18" s="184" t="inlineStr">
        <is>
          <t>ICR</t>
        </is>
      </c>
      <c r="B18" s="185" t="inlineStr">
        <is>
          <t>Interest Coverage Ratio – NOI divided by interest only payment. Bank minimum: 1.75x</t>
        </is>
      </c>
    </row>
    <row r="19" ht="15.75" customHeight="1" s="95">
      <c r="A19" s="186" t="inlineStr">
        <is>
          <t>WAULT</t>
        </is>
      </c>
      <c r="B19" s="187" t="inlineStr">
        <is>
          <t>Weighted Average Unexpired Lease Term – income-weighted remaining lease duration in years</t>
        </is>
      </c>
    </row>
    <row r="20" ht="15.75" customHeight="1" s="95">
      <c r="A20" s="184" t="inlineStr">
        <is>
          <t>GIY</t>
        </is>
      </c>
      <c r="B20" s="185" t="inlineStr">
        <is>
          <t>Gross Initial Yield – passing rent divided by purchase price. Benchmark: 5.5–9% for DE retail</t>
        </is>
      </c>
    </row>
    <row r="21" ht="15.75" customHeight="1" s="95">
      <c r="A21" s="186" t="inlineStr">
        <is>
          <t>LTV</t>
        </is>
      </c>
      <c r="B21" s="187" t="inlineStr">
        <is>
          <t>Loan-to-Value – senior loan divided by purchase price. Bank maximum: typically 60–65%</t>
        </is>
      </c>
    </row>
    <row r="22" ht="15.75" customHeight="1" s="95">
      <c r="A22" s="184" t="inlineStr">
        <is>
          <t>NOI</t>
        </is>
      </c>
      <c r="B22" s="185" t="inlineStr">
        <is>
          <t>Net Operating Income – gross rent less non-recoverable operating costs (management fees, insurance)</t>
        </is>
      </c>
    </row>
    <row r="23" ht="15.75" customHeight="1" s="95">
      <c r="A23" s="186" t="inlineStr">
        <is>
          <t>ERV</t>
        </is>
      </c>
      <c r="B23" s="187" t="inlineStr">
        <is>
          <t>Estimated Rental Value – market rent a vacant unit could achieve today per m²</t>
        </is>
      </c>
    </row>
    <row r="24" ht="15.75" customHeight="1" s="95">
      <c r="A24" s="184" t="inlineStr">
        <is>
          <t>GrESt</t>
        </is>
      </c>
      <c r="B24" s="185" t="inlineStr">
        <is>
          <t>Grunderwerbsteuer – German real estate transfer tax, 3.5–6.5% depending on Bundesland</t>
        </is>
      </c>
    </row>
    <row r="25" ht="15.75" customHeight="1" s="95">
      <c r="A25" s="186" t="inlineStr">
        <is>
          <t>AfA</t>
        </is>
      </c>
      <c r="B25" s="187" t="inlineStr">
        <is>
          <t>Absetzung für Abnutzung – tax depreciation, 2% linear on building value (excluding land)</t>
        </is>
      </c>
    </row>
    <row r="26" ht="7.5" customHeight="1" s="95"/>
    <row r="27" ht="19.5" customHeight="1" s="95">
      <c r="A27" s="173" t="inlineStr">
        <is>
          <t xml:space="preserve">  IMPORTANT WARNINGS</t>
        </is>
      </c>
    </row>
    <row r="28" ht="15.75" customHeight="1" s="95">
      <c r="A28" s="184" t="inlineStr">
        <is>
          <t>⚠ LTV &gt; 65%</t>
        </is>
      </c>
      <c r="B28" s="185" t="inlineStr">
        <is>
          <t>Most German CRE lenders will decline or require mezzanine financing above 65% LTV</t>
        </is>
      </c>
    </row>
    <row r="29" ht="15.75" customHeight="1" s="95">
      <c r="A29" s="186" t="inlineStr">
        <is>
          <t>⚠ WAULT &lt; 3 yrs</t>
        </is>
      </c>
      <c r="B29" s="187" t="inlineStr">
        <is>
          <t>Short WAULT = high re-letting risk. Institutional buyers typically require WAULT &gt; 4 years</t>
        </is>
      </c>
    </row>
    <row r="30" ht="15.75" customHeight="1" s="95">
      <c r="A30" s="184" t="inlineStr">
        <is>
          <t>⚠ DSCR &lt; 1.20x</t>
        </is>
      </c>
      <c r="B30" s="185" t="inlineStr">
        <is>
          <t>Below minimum bank covenant. Deal will not pass credit committee</t>
        </is>
      </c>
    </row>
    <row r="31" ht="15.75" customHeight="1" s="95">
      <c r="A31" s="186" t="inlineStr">
        <is>
          <t>⚠ Anchor &gt; 60%</t>
        </is>
      </c>
      <c r="B31" s="187" t="inlineStr">
        <is>
          <t>High single-tenant concentration risk. Stress-test anchor departure scenario</t>
        </is>
      </c>
    </row>
    <row r="32" ht="15.75" customHeight="1" s="95">
      <c r="A32" s="184" t="inlineStr">
        <is>
          <t>⚠ Vacancy &gt; 15%</t>
        </is>
      </c>
      <c r="B32" s="185" t="inlineStr">
        <is>
          <t>Significant vacancy signals distress or structural market problems for asset type</t>
        </is>
      </c>
    </row>
  </sheetData>
  <mergeCells count="28">
    <mergeCell ref="B4:F4"/>
    <mergeCell ref="A16:F16"/>
    <mergeCell ref="B7:F7"/>
    <mergeCell ref="B25:F25"/>
    <mergeCell ref="A27:F27"/>
    <mergeCell ref="B31:F31"/>
    <mergeCell ref="B22:F22"/>
    <mergeCell ref="A3:F3"/>
    <mergeCell ref="B18:F18"/>
    <mergeCell ref="B21:F21"/>
    <mergeCell ref="B12:F12"/>
    <mergeCell ref="B11:F11"/>
    <mergeCell ref="B23:F23"/>
    <mergeCell ref="B14:F14"/>
    <mergeCell ref="B17:F17"/>
    <mergeCell ref="B13:F13"/>
    <mergeCell ref="B29:F29"/>
    <mergeCell ref="B10:F10"/>
    <mergeCell ref="B28:F28"/>
    <mergeCell ref="A9:F9"/>
    <mergeCell ref="B19:F19"/>
    <mergeCell ref="B30:F30"/>
    <mergeCell ref="B6:F6"/>
    <mergeCell ref="B24:F24"/>
    <mergeCell ref="B20:F20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2026-03-15T19:07:14Z</dcterms:created>
  <dcterms:modified xmlns:dcterms="http://purl.org/dc/terms/" xmlns:xsi="http://www.w3.org/2001/XMLSchema-instance" xsi:type="dcterms:W3CDTF">2026-03-22T14:13:06Z</dcterms:modified>
  <cp:revision>0</cp:revision>
</cp:coreProperties>
</file>